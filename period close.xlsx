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7a1cbcdcd1b270e/Desktop/"/>
    </mc:Choice>
  </mc:AlternateContent>
  <xr:revisionPtr revIDLastSave="429" documentId="11_F25DC773A252ABDACC10485A115B475E5BDE58EF" xr6:coauthVersionLast="47" xr6:coauthVersionMax="47" xr10:uidLastSave="{F54306B8-D138-4BD7-96C0-D477E84B99A8}"/>
  <bookViews>
    <workbookView xWindow="-110" yWindow="-110" windowWidth="19420" windowHeight="11500" firstSheet="1" activeTab="5" xr2:uid="{00000000-000D-0000-FFFF-FFFF00000000}"/>
  </bookViews>
  <sheets>
    <sheet name="Task_Master" sheetId="1" r:id="rId1"/>
    <sheet name="Sheet1" sheetId="3" r:id="rId2"/>
    <sheet name="Sheet2" sheetId="4" r:id="rId3"/>
    <sheet name="Sheet3" sheetId="5" r:id="rId4"/>
    <sheet name="Close_Data" sheetId="2" r:id="rId5"/>
    <sheet name="timeline" sheetId="6" r:id="rId6"/>
  </sheets>
  <calcPr calcId="191029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2" i="2"/>
  <c r="I2" i="2"/>
  <c r="J2" i="2" s="1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F3" i="2" a="1"/>
  <c r="F3" i="2" s="1"/>
  <c r="F4" i="2" a="1"/>
  <c r="F4" i="2" s="1"/>
  <c r="F5" i="2" a="1"/>
  <c r="F5" i="2" s="1"/>
  <c r="F6" i="2" a="1"/>
  <c r="F6" i="2" s="1"/>
  <c r="F7" i="2" a="1"/>
  <c r="F7" i="2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/>
  <c r="F45" i="2" a="1"/>
  <c r="F45" i="2" s="1"/>
  <c r="F46" i="2" a="1"/>
  <c r="F46" i="2" s="1"/>
  <c r="F2" i="2" a="1"/>
  <c r="F2" i="2" s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5" i="2" a="1"/>
  <c r="E25" i="2" s="1"/>
  <c r="E26" i="2" a="1"/>
  <c r="E26" i="2" s="1"/>
  <c r="E27" i="2" a="1"/>
  <c r="E27" i="2" s="1"/>
  <c r="E28" i="2" a="1"/>
  <c r="E28" i="2" s="1"/>
  <c r="E29" i="2" a="1"/>
  <c r="E29" i="2" s="1"/>
  <c r="E30" i="2" a="1"/>
  <c r="E30" i="2" s="1"/>
  <c r="E31" i="2" a="1"/>
  <c r="E31" i="2" s="1"/>
  <c r="E32" i="2" a="1"/>
  <c r="E32" i="2" s="1"/>
  <c r="E33" i="2" a="1"/>
  <c r="E33" i="2" s="1"/>
  <c r="E34" i="2" a="1"/>
  <c r="E34" i="2" s="1"/>
  <c r="E35" i="2" a="1"/>
  <c r="E35" i="2" s="1"/>
  <c r="E36" i="2" a="1"/>
  <c r="E36" i="2" s="1"/>
  <c r="E37" i="2" a="1"/>
  <c r="E37" i="2" s="1"/>
  <c r="E38" i="2" a="1"/>
  <c r="E38" i="2" s="1"/>
  <c r="E39" i="2" a="1"/>
  <c r="E39" i="2" s="1"/>
  <c r="E40" i="2" a="1"/>
  <c r="E40" i="2" s="1"/>
  <c r="E41" i="2" a="1"/>
  <c r="E41" i="2" s="1"/>
  <c r="E42" i="2" a="1"/>
  <c r="E42" i="2" s="1"/>
  <c r="E43" i="2" a="1"/>
  <c r="E43" i="2" s="1"/>
  <c r="E44" i="2" a="1"/>
  <c r="E44" i="2" s="1"/>
  <c r="E45" i="2" a="1"/>
  <c r="E45" i="2" s="1"/>
  <c r="E46" i="2" a="1"/>
  <c r="E46" i="2" s="1"/>
  <c r="E2" i="2" a="1"/>
  <c r="E2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2" i="2" a="1"/>
  <c r="D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2" i="2" a="1"/>
  <c r="C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2" i="2" a="1"/>
  <c r="B2" i="2" s="1"/>
  <c r="A8" i="2" a="1"/>
  <c r="A8" i="2" s="1"/>
  <c r="A9" i="2" a="1"/>
  <c r="A9" i="2" s="1"/>
  <c r="A10" i="2" a="1"/>
  <c r="A10" i="2" s="1"/>
  <c r="A11" i="2" a="1"/>
  <c r="A11" i="2" s="1"/>
  <c r="A12" i="2" a="1"/>
  <c r="A12" i="2" s="1"/>
  <c r="A13" i="2" a="1"/>
  <c r="A13" i="2" s="1"/>
  <c r="A14" i="2" a="1"/>
  <c r="A14" i="2" s="1"/>
  <c r="A15" i="2" a="1"/>
  <c r="A15" i="2" s="1"/>
  <c r="A16" i="2" a="1"/>
  <c r="A16" i="2" s="1"/>
  <c r="A17" i="2" a="1"/>
  <c r="A17" i="2" s="1"/>
  <c r="A18" i="2" a="1"/>
  <c r="A18" i="2" s="1"/>
  <c r="A19" i="2" a="1"/>
  <c r="A19" i="2" s="1"/>
  <c r="A20" i="2" a="1"/>
  <c r="A20" i="2" s="1"/>
  <c r="A21" i="2" a="1"/>
  <c r="A21" i="2" s="1"/>
  <c r="A22" i="2" a="1"/>
  <c r="A22" i="2" s="1"/>
  <c r="A23" i="2" a="1"/>
  <c r="A23" i="2" s="1"/>
  <c r="A24" i="2" a="1"/>
  <c r="A24" i="2" s="1"/>
  <c r="A25" i="2" a="1"/>
  <c r="A25" i="2" s="1"/>
  <c r="A26" i="2" a="1"/>
  <c r="A26" i="2" s="1"/>
  <c r="A27" i="2" a="1"/>
  <c r="A27" i="2" s="1"/>
  <c r="A28" i="2" a="1"/>
  <c r="A28" i="2" s="1"/>
  <c r="A29" i="2" a="1"/>
  <c r="A29" i="2" s="1"/>
  <c r="A30" i="2" a="1"/>
  <c r="A30" i="2" s="1"/>
  <c r="A31" i="2" a="1"/>
  <c r="A31" i="2" s="1"/>
  <c r="A32" i="2" a="1"/>
  <c r="A32" i="2" s="1"/>
  <c r="A33" i="2" a="1"/>
  <c r="A33" i="2" s="1"/>
  <c r="A34" i="2" a="1"/>
  <c r="A34" i="2" s="1"/>
  <c r="A35" i="2" a="1"/>
  <c r="A35" i="2" s="1"/>
  <c r="A36" i="2" a="1"/>
  <c r="A36" i="2" s="1"/>
  <c r="A37" i="2" a="1"/>
  <c r="A37" i="2" s="1"/>
  <c r="A38" i="2" a="1"/>
  <c r="A38" i="2" s="1"/>
  <c r="A39" i="2" a="1"/>
  <c r="A39" i="2" s="1"/>
  <c r="A40" i="2" a="1"/>
  <c r="A40" i="2" s="1"/>
  <c r="A41" i="2" a="1"/>
  <c r="A41" i="2" s="1"/>
  <c r="A42" i="2" a="1"/>
  <c r="A42" i="2" s="1"/>
  <c r="A43" i="2" a="1"/>
  <c r="A43" i="2" s="1"/>
  <c r="A44" i="2" a="1"/>
  <c r="A44" i="2" s="1"/>
  <c r="A45" i="2" a="1"/>
  <c r="A45" i="2" s="1"/>
  <c r="A46" i="2" a="1"/>
  <c r="A46" i="2" s="1"/>
  <c r="A2" i="2" a="1"/>
  <c r="A2" i="2" s="1"/>
  <c r="A3" i="2" a="1"/>
  <c r="A3" i="2" s="1"/>
  <c r="A4" i="2" a="1"/>
  <c r="A4" i="2" s="1"/>
  <c r="A5" i="2" a="1"/>
  <c r="A5" i="2" s="1"/>
  <c r="A6" i="2" a="1"/>
  <c r="A6" i="2" s="1"/>
  <c r="A7" i="2" a="1"/>
  <c r="A7" i="2" s="1"/>
  <c r="I46" i="2" l="1"/>
  <c r="J46" i="2" s="1"/>
  <c r="I31" i="2"/>
  <c r="J31" i="2" s="1"/>
  <c r="I16" i="2"/>
  <c r="J1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<sst xmlns="http://schemas.openxmlformats.org/spreadsheetml/2006/main" count="150" uniqueCount="58">
  <si>
    <t>Task_ID</t>
  </si>
  <si>
    <t>Process</t>
  </si>
  <si>
    <t>Task_Name</t>
  </si>
  <si>
    <t>Owner_Department</t>
  </si>
  <si>
    <t>Dependency</t>
  </si>
  <si>
    <t>Planned_Day</t>
  </si>
  <si>
    <t>AP</t>
  </si>
  <si>
    <t>Vendor Invoice Posting</t>
  </si>
  <si>
    <t>Accounts Payable</t>
  </si>
  <si>
    <t>None</t>
  </si>
  <si>
    <t>AP Reconciliation</t>
  </si>
  <si>
    <t>AR</t>
  </si>
  <si>
    <t>Customer Invoice Posting</t>
  </si>
  <si>
    <t>Accounts Receivable</t>
  </si>
  <si>
    <t>AR Reconciliation</t>
  </si>
  <si>
    <t>Payroll</t>
  </si>
  <si>
    <t>Salary Processing</t>
  </si>
  <si>
    <t>HR/Payroll</t>
  </si>
  <si>
    <t>Payroll Journal Entry</t>
  </si>
  <si>
    <t>Finance</t>
  </si>
  <si>
    <t>Inventory</t>
  </si>
  <si>
    <t>Inventory Count</t>
  </si>
  <si>
    <t>Operations</t>
  </si>
  <si>
    <t>Inventory Valuation</t>
  </si>
  <si>
    <t>Cash</t>
  </si>
  <si>
    <t>Bank Reconciliation</t>
  </si>
  <si>
    <t>Treasury</t>
  </si>
  <si>
    <t>1,3</t>
  </si>
  <si>
    <t>Fixed Assets</t>
  </si>
  <si>
    <t>Depreciation Run</t>
  </si>
  <si>
    <t>Accruals</t>
  </si>
  <si>
    <t>Expense Accrual Posting</t>
  </si>
  <si>
    <t>2,4,8</t>
  </si>
  <si>
    <t>Reporting</t>
  </si>
  <si>
    <t>Trial Balance Review</t>
  </si>
  <si>
    <t>6,9,10,11</t>
  </si>
  <si>
    <t>Financial Statement Prep</t>
  </si>
  <si>
    <t>Management Review</t>
  </si>
  <si>
    <t>CFO Office</t>
  </si>
  <si>
    <t>Books Closed</t>
  </si>
  <si>
    <t xml:space="preserve">Month </t>
  </si>
  <si>
    <t>Actual_Day</t>
  </si>
  <si>
    <t>Delay</t>
  </si>
  <si>
    <t>Issue</t>
  </si>
  <si>
    <t>Month</t>
  </si>
  <si>
    <t>Jan</t>
  </si>
  <si>
    <t>Feb</t>
  </si>
  <si>
    <t>Mar</t>
  </si>
  <si>
    <t>Planned Close Day</t>
  </si>
  <si>
    <t>Actual Close day</t>
  </si>
  <si>
    <t>Row Labels</t>
  </si>
  <si>
    <t>Grand Total</t>
  </si>
  <si>
    <t>Average of Delay</t>
  </si>
  <si>
    <t>Average of Delay by Close Title</t>
  </si>
  <si>
    <t>Column Labels</t>
  </si>
  <si>
    <t>Actual Close Day</t>
  </si>
  <si>
    <t>Start_Day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</si>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</sst>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[period close.xlsx]Sheet2!PivotTable2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Accounts Payable</c:v>
                </c:pt>
                <c:pt idx="1">
                  <c:v>Accounts Receivable</c:v>
                </c:pt>
                <c:pt idx="2">
                  <c:v>CFO Office</c:v>
                </c:pt>
                <c:pt idx="3">
                  <c:v>Finance</c:v>
                </c:pt>
                <c:pt idx="4">
                  <c:v>HR/Payroll</c:v>
                </c:pt>
                <c:pt idx="5">
                  <c:v>Operations</c:v>
                </c:pt>
                <c:pt idx="6">
                  <c:v>Treasury</c:v>
                </c:pt>
              </c:strCache>
            </c:strRef>
          </c:cat>
          <c:val>
            <c:numRef>
              <c:f>Sheet2!$B$4:$B$11</c:f>
              <c:numCache>
                <c:formatCode>0.00</c:formatCode>
                <c:ptCount val="7"/>
                <c:pt idx="0">
                  <c:v>1.3333333333333333</c:v>
                </c:pt>
                <c:pt idx="1">
                  <c:v>0.16666666666666666</c:v>
                </c:pt>
                <c:pt idx="2">
                  <c:v>1</c:v>
                </c:pt>
                <c:pt idx="3">
                  <c:v>1.5238095238095237</c:v>
                </c:pt>
                <c:pt idx="4">
                  <c:v>1.6666666666666667</c:v>
                </c:pt>
                <c:pt idx="5">
                  <c:v>1.3333333333333333</c:v>
                </c:pt>
                <c:pt idx="6">
                  <c:v>1.6666666666666667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F-4097-9F60-B4A68E502A4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35866304"/>
        <c:axId val="1535863424"/>
      </c:barChart>
      <c:catAx>
        <c:axId val="153586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863424"/>
        <c:crosses val="autoZero"/>
        <c:auto val="1"/>
        <c:lblAlgn val="ctr"/>
        <c:lblOffset val="100"/>
        <c:noMultiLvlLbl val="0"/>
      </c:catAx>
      <c:valAx>
        <c:axId val="153586342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3586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009987387940146E-2"/>
          <c:y val="0.23393333333333333"/>
          <c:w val="0.87889477451682174"/>
          <c:h val="0.59807821522309712"/>
        </c:manualLayout>
      </c:layout>
      <c:lineChart>
        <c:grouping val="standard"/>
        <c:varyColors val="0"/>
        <c:ser>
          <c:idx val="0"/>
          <c:order val="0"/>
          <c:tx>
            <c:strRef>
              <c:f>Close_Data!$P$13</c:f>
              <c:strCache>
                <c:ptCount val="1"/>
                <c:pt idx="0">
                  <c:v>Actual Close Day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Close_Data!$O$14:$O$16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Close_Data!$P$14:$P$16</c:f>
              <c:numCache>
                <c:formatCode>General</c:formatCode>
                <c:ptCount val="3"/>
                <c:pt idx="0">
                  <c:v>10</c:v>
                </c:pt>
                <c:pt idx="1">
                  <c:v>16</c:v>
                </c:pt>
                <c:pt idx="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0-48FD-BD19-4A022D3A3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2473888"/>
        <c:axId val="882472928"/>
      </c:lineChart>
      <c:catAx>
        <c:axId val="8824738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472928"/>
        <c:crosses val="autoZero"/>
        <c:auto val="1"/>
        <c:lblAlgn val="ctr"/>
        <c:lblOffset val="100"/>
        <c:noMultiLvlLbl val="0"/>
      </c:catAx>
      <c:valAx>
        <c:axId val="8824729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47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158750</xdr:colOff>
      <xdr:row>1</xdr:row>
      <xdr:rowOff>171450</xdr:rowOff>
    </xdr:from>
    <xdr:to>
      <xdr:col>9</xdr:col>
      <xdr:colOff>463550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5BDB8-9385-3114-61BB-625F22283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142875</xdr:colOff>
      <xdr:row>8</xdr:row>
      <xdr:rowOff>158750</xdr:rowOff>
    </xdr:from>
    <xdr:to>
      <xdr:col>20</xdr:col>
      <xdr:colOff>488950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C17114-6F38-F6EA-73B8-C7DC01A85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i Singh" refreshedDate="46070.096165393516" createdVersion="8" refreshedVersion="8" minRefreshableVersion="3" recordCount="45" xr:uid="{67260A95-5F8D-49C0-BDDB-5E6168193E20}">
  <cacheSource type="worksheet">
    <worksheetSource ref="A1:J46" sheet="Close_Data"/>
  </cacheSource>
  <cacheFields count="10">
    <cacheField name="Month " numFmtId="0">
      <sharedItems count="3">
        <s v="Jan"/>
        <s v="Feb"/>
        <s v="Mar"/>
      </sharedItems>
    </cacheField>
    <cacheField name="Task_ID" numFmtId="0">
      <sharedItems containsSemiMixedTypes="0" containsString="0" containsNumber="1" containsInteger="1" minValue="1" maxValue="15"/>
    </cacheField>
    <cacheField name="Process" numFmtId="0">
      <sharedItems/>
    </cacheField>
    <cacheField name="Task_Name" numFmtId="0">
      <sharedItems count="15">
        <s v="Vendor Invoice Posting"/>
        <s v="AP Reconciliation"/>
        <s v="Customer Invoice Posting"/>
        <s v="AR Reconciliation"/>
        <s v="Salary Processing"/>
        <s v="Payroll Journal Entry"/>
        <s v="Inventory Count"/>
        <s v="Inventory Valuation"/>
        <s v="Bank Reconciliation"/>
        <s v="Depreciation Run"/>
        <s v="Expense Accrual Posting"/>
        <s v="Trial Balance Review"/>
        <s v="Financial Statement Prep"/>
        <s v="Management Review"/>
        <s v="Books Closed"/>
      </sharedItems>
    </cacheField>
    <cacheField name="Owner_Department" numFmtId="0">
      <sharedItems count="7">
        <s v="Accounts Payable"/>
        <s v="Accounts Receivable"/>
        <s v="HR/Payroll"/>
        <s v="Finance"/>
        <s v="Operations"/>
        <s v="Treasury"/>
        <s v="CFO Office"/>
      </sharedItems>
    </cacheField>
    <cacheField name="Dependency" numFmtId="0">
      <sharedItems containsMixedTypes="1" containsNumber="1" containsInteger="1" minValue="1" maxValue="14"/>
    </cacheField>
    <cacheField name="Planned_Day" numFmtId="0">
      <sharedItems containsSemiMixedTypes="0" containsString="0" containsNumber="1" containsInteger="1" minValue="1" maxValue="15"/>
    </cacheField>
    <cacheField name="Actual_Day" numFmtId="0">
      <sharedItems containsSemiMixedTypes="0" containsString="0" containsNumber="1" containsInteger="1" minValue="1" maxValue="16"/>
    </cacheField>
    <cacheField name="Delay" numFmtId="0">
      <sharedItems containsSemiMixedTypes="0" containsString="0" containsNumber="1" containsInteger="1" minValue="0" maxValue="3"/>
    </cacheField>
    <cacheField name="Issu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n v="1"/>
    <s v="AP"/>
    <x v="0"/>
    <x v="0"/>
    <s v="None"/>
    <n v="2"/>
    <n v="2"/>
    <n v="0"/>
    <s v="On Time"/>
  </r>
  <r>
    <x v="0"/>
    <n v="2"/>
    <s v="AP"/>
    <x v="1"/>
    <x v="0"/>
    <n v="1"/>
    <n v="4"/>
    <n v="5"/>
    <n v="1"/>
    <s v="Minor Delay"/>
  </r>
  <r>
    <x v="0"/>
    <n v="3"/>
    <s v="AR"/>
    <x v="2"/>
    <x v="1"/>
    <s v="None"/>
    <n v="3"/>
    <n v="3"/>
    <n v="0"/>
    <s v="On Time"/>
  </r>
  <r>
    <x v="0"/>
    <n v="4"/>
    <s v="AR"/>
    <x v="3"/>
    <x v="1"/>
    <n v="3"/>
    <n v="5"/>
    <n v="5"/>
    <n v="0"/>
    <s v="On Time"/>
  </r>
  <r>
    <x v="0"/>
    <n v="5"/>
    <s v="Payroll"/>
    <x v="4"/>
    <x v="2"/>
    <s v="None"/>
    <n v="4"/>
    <n v="6"/>
    <n v="2"/>
    <s v="Minor Delay"/>
  </r>
  <r>
    <x v="0"/>
    <n v="6"/>
    <s v="Payroll"/>
    <x v="5"/>
    <x v="3"/>
    <n v="5"/>
    <n v="6"/>
    <n v="7"/>
    <n v="1"/>
    <s v="Minor Delay"/>
  </r>
  <r>
    <x v="0"/>
    <n v="7"/>
    <s v="Inventory"/>
    <x v="6"/>
    <x v="4"/>
    <s v="None"/>
    <n v="2"/>
    <n v="5"/>
    <n v="3"/>
    <s v="Major Delay"/>
  </r>
  <r>
    <x v="0"/>
    <n v="8"/>
    <s v="Inventory"/>
    <x v="7"/>
    <x v="3"/>
    <n v="7"/>
    <n v="3"/>
    <n v="5"/>
    <n v="2"/>
    <s v="Minor Delay"/>
  </r>
  <r>
    <x v="0"/>
    <n v="9"/>
    <s v="Cash"/>
    <x v="8"/>
    <x v="5"/>
    <s v="1,3"/>
    <n v="5"/>
    <n v="7"/>
    <n v="2"/>
    <s v="Minor Delay"/>
  </r>
  <r>
    <x v="0"/>
    <n v="10"/>
    <s v="Fixed Assets"/>
    <x v="9"/>
    <x v="3"/>
    <s v="None"/>
    <n v="1"/>
    <n v="1"/>
    <n v="0"/>
    <s v="On Time"/>
  </r>
  <r>
    <x v="0"/>
    <n v="11"/>
    <s v="Accruals"/>
    <x v="10"/>
    <x v="3"/>
    <s v="2,4,8"/>
    <n v="6"/>
    <n v="7"/>
    <n v="1"/>
    <s v="Minor Delay"/>
  </r>
  <r>
    <x v="0"/>
    <n v="12"/>
    <s v="Reporting"/>
    <x v="11"/>
    <x v="3"/>
    <s v="6,9,10,11"/>
    <n v="7"/>
    <n v="8"/>
    <n v="1"/>
    <s v="Minor Delay"/>
  </r>
  <r>
    <x v="0"/>
    <n v="13"/>
    <s v="Reporting"/>
    <x v="12"/>
    <x v="3"/>
    <n v="12"/>
    <n v="8"/>
    <n v="9"/>
    <n v="1"/>
    <s v="Minor Delay"/>
  </r>
  <r>
    <x v="0"/>
    <n v="14"/>
    <s v="Reporting"/>
    <x v="13"/>
    <x v="6"/>
    <n v="13"/>
    <n v="9"/>
    <n v="9"/>
    <n v="0"/>
    <s v="On Time"/>
  </r>
  <r>
    <x v="0"/>
    <n v="15"/>
    <s v="Reporting"/>
    <x v="14"/>
    <x v="3"/>
    <n v="14"/>
    <n v="10"/>
    <n v="10"/>
    <n v="0"/>
    <s v="On Time"/>
  </r>
  <r>
    <x v="1"/>
    <n v="1"/>
    <s v="AP"/>
    <x v="0"/>
    <x v="0"/>
    <s v="None"/>
    <n v="4"/>
    <n v="4"/>
    <n v="0"/>
    <s v="On Time"/>
  </r>
  <r>
    <x v="1"/>
    <n v="2"/>
    <s v="AP"/>
    <x v="1"/>
    <x v="0"/>
    <n v="1"/>
    <n v="5"/>
    <n v="6"/>
    <n v="1"/>
    <s v="Minor Delay"/>
  </r>
  <r>
    <x v="1"/>
    <n v="3"/>
    <s v="AR"/>
    <x v="2"/>
    <x v="1"/>
    <s v="None"/>
    <n v="4"/>
    <n v="5"/>
    <n v="1"/>
    <s v="Minor Delay"/>
  </r>
  <r>
    <x v="1"/>
    <n v="4"/>
    <s v="AR"/>
    <x v="3"/>
    <x v="1"/>
    <n v="3"/>
    <n v="5"/>
    <n v="5"/>
    <n v="0"/>
    <s v="On Time"/>
  </r>
  <r>
    <x v="1"/>
    <n v="5"/>
    <s v="Payroll"/>
    <x v="4"/>
    <x v="2"/>
    <s v="None"/>
    <n v="6"/>
    <n v="8"/>
    <n v="2"/>
    <s v="Minor Delay"/>
  </r>
  <r>
    <x v="1"/>
    <n v="6"/>
    <s v="Payroll"/>
    <x v="5"/>
    <x v="3"/>
    <n v="5"/>
    <n v="7"/>
    <n v="9"/>
    <n v="2"/>
    <s v="Minor Delay"/>
  </r>
  <r>
    <x v="1"/>
    <n v="7"/>
    <s v="Inventory"/>
    <x v="6"/>
    <x v="4"/>
    <s v="None"/>
    <n v="8"/>
    <n v="9"/>
    <n v="1"/>
    <s v="Minor Delay"/>
  </r>
  <r>
    <x v="1"/>
    <n v="8"/>
    <s v="Inventory"/>
    <x v="7"/>
    <x v="3"/>
    <n v="7"/>
    <n v="9"/>
    <n v="10"/>
    <n v="1"/>
    <s v="Minor Delay"/>
  </r>
  <r>
    <x v="1"/>
    <n v="9"/>
    <s v="Cash"/>
    <x v="8"/>
    <x v="5"/>
    <s v="1,3"/>
    <n v="6"/>
    <n v="6"/>
    <n v="0"/>
    <s v="On Time"/>
  </r>
  <r>
    <x v="1"/>
    <n v="10"/>
    <s v="Fixed Assets"/>
    <x v="9"/>
    <x v="3"/>
    <s v="None"/>
    <n v="7"/>
    <n v="10"/>
    <n v="3"/>
    <s v="Major Delay"/>
  </r>
  <r>
    <x v="1"/>
    <n v="11"/>
    <s v="Accruals"/>
    <x v="10"/>
    <x v="3"/>
    <s v="2,4,8"/>
    <n v="10"/>
    <n v="13"/>
    <n v="3"/>
    <s v="Major Delay"/>
  </r>
  <r>
    <x v="1"/>
    <n v="12"/>
    <s v="Reporting"/>
    <x v="11"/>
    <x v="3"/>
    <s v="6,9,10,11"/>
    <n v="12"/>
    <n v="13"/>
    <n v="1"/>
    <s v="Minor Delay"/>
  </r>
  <r>
    <x v="1"/>
    <n v="13"/>
    <s v="Reporting"/>
    <x v="12"/>
    <x v="3"/>
    <n v="12"/>
    <n v="13"/>
    <n v="14"/>
    <n v="1"/>
    <s v="Minor Delay"/>
  </r>
  <r>
    <x v="1"/>
    <n v="14"/>
    <s v="Reporting"/>
    <x v="13"/>
    <x v="6"/>
    <n v="13"/>
    <n v="14"/>
    <n v="15"/>
    <n v="1"/>
    <s v="Minor Delay"/>
  </r>
  <r>
    <x v="1"/>
    <n v="15"/>
    <s v="Reporting"/>
    <x v="14"/>
    <x v="3"/>
    <n v="14"/>
    <n v="15"/>
    <n v="16"/>
    <n v="1"/>
    <s v="Minor Delay"/>
  </r>
  <r>
    <x v="2"/>
    <n v="1"/>
    <s v="AP"/>
    <x v="0"/>
    <x v="0"/>
    <s v="None"/>
    <n v="1"/>
    <n v="4"/>
    <n v="3"/>
    <s v="Major Delay"/>
  </r>
  <r>
    <x v="2"/>
    <n v="2"/>
    <s v="AP"/>
    <x v="1"/>
    <x v="0"/>
    <n v="1"/>
    <n v="2"/>
    <n v="5"/>
    <n v="3"/>
    <s v="Major Delay"/>
  </r>
  <r>
    <x v="2"/>
    <n v="3"/>
    <s v="AR"/>
    <x v="2"/>
    <x v="1"/>
    <s v="None"/>
    <n v="2"/>
    <n v="2"/>
    <n v="0"/>
    <s v="On Time"/>
  </r>
  <r>
    <x v="2"/>
    <n v="4"/>
    <s v="AR"/>
    <x v="3"/>
    <x v="1"/>
    <n v="3"/>
    <n v="3"/>
    <n v="3"/>
    <n v="0"/>
    <s v="On Time"/>
  </r>
  <r>
    <x v="2"/>
    <n v="5"/>
    <s v="Payroll"/>
    <x v="4"/>
    <x v="2"/>
    <s v="None"/>
    <n v="4"/>
    <n v="5"/>
    <n v="1"/>
    <s v="Minor Delay"/>
  </r>
  <r>
    <x v="2"/>
    <n v="6"/>
    <s v="Payroll"/>
    <x v="5"/>
    <x v="3"/>
    <n v="5"/>
    <n v="5"/>
    <n v="6"/>
    <n v="1"/>
    <s v="Minor Delay"/>
  </r>
  <r>
    <x v="2"/>
    <n v="7"/>
    <s v="Inventory"/>
    <x v="6"/>
    <x v="4"/>
    <s v="None"/>
    <n v="5"/>
    <n v="5"/>
    <n v="0"/>
    <s v="On Time"/>
  </r>
  <r>
    <x v="2"/>
    <n v="8"/>
    <s v="Inventory"/>
    <x v="7"/>
    <x v="3"/>
    <n v="7"/>
    <n v="6"/>
    <n v="9"/>
    <n v="3"/>
    <s v="Major Delay"/>
  </r>
  <r>
    <x v="2"/>
    <n v="9"/>
    <s v="Cash"/>
    <x v="8"/>
    <x v="5"/>
    <s v="1,3"/>
    <n v="3"/>
    <n v="6"/>
    <n v="3"/>
    <s v="Major Delay"/>
  </r>
  <r>
    <x v="2"/>
    <n v="10"/>
    <s v="Fixed Assets"/>
    <x v="9"/>
    <x v="3"/>
    <s v="None"/>
    <n v="7"/>
    <n v="7"/>
    <n v="0"/>
    <s v="On Time"/>
  </r>
  <r>
    <x v="2"/>
    <n v="11"/>
    <s v="Accruals"/>
    <x v="10"/>
    <x v="3"/>
    <s v="2,4,8"/>
    <n v="8"/>
    <n v="10"/>
    <n v="2"/>
    <s v="Minor Delay"/>
  </r>
  <r>
    <x v="2"/>
    <n v="12"/>
    <s v="Reporting"/>
    <x v="11"/>
    <x v="3"/>
    <s v="6,9,10,11"/>
    <n v="9"/>
    <n v="11"/>
    <n v="2"/>
    <s v="Minor Delay"/>
  </r>
  <r>
    <x v="2"/>
    <n v="13"/>
    <s v="Reporting"/>
    <x v="12"/>
    <x v="3"/>
    <n v="12"/>
    <n v="10"/>
    <n v="13"/>
    <n v="3"/>
    <s v="Major Delay"/>
  </r>
  <r>
    <x v="2"/>
    <n v="14"/>
    <s v="Reporting"/>
    <x v="13"/>
    <x v="6"/>
    <n v="13"/>
    <n v="11"/>
    <n v="13"/>
    <n v="2"/>
    <s v="Minor Delay"/>
  </r>
  <r>
    <x v="2"/>
    <n v="15"/>
    <s v="Reporting"/>
    <x v="14"/>
    <x v="3"/>
    <n v="14"/>
    <n v="12"/>
    <n v="15"/>
    <n v="3"/>
    <s v="Major Del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B43F4-78EE-495A-8605-DF8D5A0846C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0">
    <pivotField showAll="0"/>
    <pivotField showAll="0"/>
    <pivotField showAll="0"/>
    <pivotField axis="axisRow" showAll="0" sortType="descending">
      <items count="16">
        <item x="1"/>
        <item x="3"/>
        <item x="8"/>
        <item x="14"/>
        <item x="2"/>
        <item x="9"/>
        <item x="10"/>
        <item x="12"/>
        <item x="6"/>
        <item x="7"/>
        <item x="13"/>
        <item x="5"/>
        <item x="4"/>
        <item x="1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6">
    <i>
      <x v="9"/>
    </i>
    <i>
      <x v="6"/>
    </i>
    <i>
      <x v="12"/>
    </i>
    <i>
      <x v="2"/>
    </i>
    <i>
      <x/>
    </i>
    <i>
      <x v="7"/>
    </i>
    <i>
      <x v="13"/>
    </i>
    <i>
      <x v="11"/>
    </i>
    <i>
      <x v="3"/>
    </i>
    <i>
      <x v="8"/>
    </i>
    <i>
      <x v="14"/>
    </i>
    <i>
      <x v="5"/>
    </i>
    <i>
      <x v="10"/>
    </i>
    <i>
      <x v="4"/>
    </i>
    <i>
      <x v="1"/>
    </i>
    <i t="grand">
      <x/>
    </i>
  </rowItems>
  <colItems count="1">
    <i/>
  </colItems>
  <dataFields count="1">
    <dataField name="Average of Delay by Close Title" fld="8" subtotal="average" baseField="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45B71-7BD2-4A66-BDC9-74CF55BCC76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1" firstHeaderRow="1" firstDataRow="1" firstDataCol="1"/>
  <pivotFields count="10">
    <pivotField showAll="0"/>
    <pivotField showAll="0"/>
    <pivotField showAll="0"/>
    <pivotField showAll="0"/>
    <pivotField axis="axisRow" showAll="0">
      <items count="8">
        <item x="0"/>
        <item x="1"/>
        <item x="6"/>
        <item x="3"/>
        <item x="2"/>
        <item x="4"/>
        <item x="5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Delay" fld="8" subtotal="average" baseField="4" baseItem="0" numFmtId="2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94C0FF-FB84-4C00-A792-C6C200C05911}" name="PivotTable3" cacheId="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D20" firstHeaderRow="1" firstDataRow="2" firstDataCol="1"/>
  <pivotFields count="10">
    <pivotField axis="axisCol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16">
        <item x="1"/>
        <item x="3"/>
        <item x="8"/>
        <item x="14"/>
        <item x="2"/>
        <item x="9"/>
        <item x="10"/>
        <item x="12"/>
        <item x="6"/>
        <item x="7"/>
        <item x="13"/>
        <item x="5"/>
        <item x="4"/>
        <item x="1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0"/>
  </colFields>
  <colItems count="3">
    <i>
      <x/>
    </i>
    <i>
      <x v="1"/>
    </i>
    <i>
      <x v="2"/>
    </i>
  </colItems>
  <dataFields count="1">
    <dataField name="Average of Delay" fld="8" subtotal="average" baseField="3" baseItem="6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C1" sqref="C1:C1048576"/>
    </sheetView>
  </sheetViews>
  <sheetFormatPr defaultRowHeight="14.5" x14ac:dyDescent="0.35"/>
  <cols>
    <col min="3" max="3" width="21.90625" customWidth="1"/>
    <col min="4" max="4" width="21.453125" customWidth="1"/>
    <col min="5" max="5" width="14.1796875" customWidth="1"/>
    <col min="6" max="6" width="13.81640625" customWidth="1"/>
  </cols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5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>
        <v>2</v>
      </c>
    </row>
    <row r="3" spans="1:6" ht="43.5" x14ac:dyDescent="0.35">
      <c r="A3" s="2">
        <v>2</v>
      </c>
      <c r="B3" s="2" t="s">
        <v>6</v>
      </c>
      <c r="C3" s="2" t="s">
        <v>10</v>
      </c>
      <c r="D3" s="2" t="s">
        <v>8</v>
      </c>
      <c r="E3" s="2">
        <v>1</v>
      </c>
      <c r="F3" s="2">
        <v>5</v>
      </c>
    </row>
    <row r="4" spans="1:6" ht="43.5" x14ac:dyDescent="0.35">
      <c r="A4" s="2">
        <v>3</v>
      </c>
      <c r="B4" s="2" t="s">
        <v>11</v>
      </c>
      <c r="C4" s="2" t="s">
        <v>12</v>
      </c>
      <c r="D4" s="2" t="s">
        <v>13</v>
      </c>
      <c r="E4" s="2" t="s">
        <v>9</v>
      </c>
      <c r="F4" s="2">
        <v>2</v>
      </c>
    </row>
    <row r="5" spans="1:6" ht="43.5" x14ac:dyDescent="0.35">
      <c r="A5" s="2">
        <v>4</v>
      </c>
      <c r="B5" s="2" t="s">
        <v>11</v>
      </c>
      <c r="C5" s="2" t="s">
        <v>14</v>
      </c>
      <c r="D5" s="2" t="s">
        <v>13</v>
      </c>
      <c r="E5" s="2">
        <v>3</v>
      </c>
      <c r="F5" s="2">
        <v>6</v>
      </c>
    </row>
    <row r="6" spans="1:6" ht="43.5" x14ac:dyDescent="0.35">
      <c r="A6" s="2">
        <v>5</v>
      </c>
      <c r="B6" s="2" t="s">
        <v>15</v>
      </c>
      <c r="C6" s="2" t="s">
        <v>16</v>
      </c>
      <c r="D6" s="2" t="s">
        <v>17</v>
      </c>
      <c r="E6" s="2" t="s">
        <v>9</v>
      </c>
      <c r="F6" s="2">
        <v>3</v>
      </c>
    </row>
    <row r="7" spans="1:6" ht="43.5" x14ac:dyDescent="0.35">
      <c r="A7" s="2">
        <v>6</v>
      </c>
      <c r="B7" s="2" t="s">
        <v>15</v>
      </c>
      <c r="C7" s="2" t="s">
        <v>18</v>
      </c>
      <c r="D7" s="2" t="s">
        <v>19</v>
      </c>
      <c r="E7" s="2">
        <v>5</v>
      </c>
      <c r="F7" s="2">
        <v>6</v>
      </c>
    </row>
    <row r="8" spans="1:6" ht="29" x14ac:dyDescent="0.35">
      <c r="A8" s="2">
        <v>7</v>
      </c>
      <c r="B8" s="2" t="s">
        <v>20</v>
      </c>
      <c r="C8" s="2" t="s">
        <v>21</v>
      </c>
      <c r="D8" s="2" t="s">
        <v>22</v>
      </c>
      <c r="E8" s="2" t="s">
        <v>9</v>
      </c>
      <c r="F8" s="2">
        <v>4</v>
      </c>
    </row>
    <row r="9" spans="1:6" ht="29" x14ac:dyDescent="0.35">
      <c r="A9" s="2">
        <v>8</v>
      </c>
      <c r="B9" s="2" t="s">
        <v>20</v>
      </c>
      <c r="C9" s="2" t="s">
        <v>23</v>
      </c>
      <c r="D9" s="2" t="s">
        <v>19</v>
      </c>
      <c r="E9" s="2">
        <v>7</v>
      </c>
      <c r="F9" s="2">
        <v>7</v>
      </c>
    </row>
    <row r="10" spans="1:6" x14ac:dyDescent="0.35">
      <c r="A10" s="2">
        <v>9</v>
      </c>
      <c r="B10" s="2" t="s">
        <v>24</v>
      </c>
      <c r="C10" s="2" t="s">
        <v>25</v>
      </c>
      <c r="D10" s="2" t="s">
        <v>26</v>
      </c>
      <c r="E10" s="2" t="s">
        <v>27</v>
      </c>
      <c r="F10" s="2">
        <v>7</v>
      </c>
    </row>
    <row r="11" spans="1:6" ht="29" x14ac:dyDescent="0.35">
      <c r="A11" s="2">
        <v>10</v>
      </c>
      <c r="B11" s="2" t="s">
        <v>28</v>
      </c>
      <c r="C11" s="2" t="s">
        <v>29</v>
      </c>
      <c r="D11" s="2" t="s">
        <v>19</v>
      </c>
      <c r="E11" s="2" t="s">
        <v>9</v>
      </c>
      <c r="F11" s="2">
        <v>6</v>
      </c>
    </row>
    <row r="12" spans="1:6" x14ac:dyDescent="0.35">
      <c r="A12" s="2">
        <v>11</v>
      </c>
      <c r="B12" s="2" t="s">
        <v>30</v>
      </c>
      <c r="C12" s="2" t="s">
        <v>31</v>
      </c>
      <c r="D12" s="2" t="s">
        <v>19</v>
      </c>
      <c r="E12" s="2" t="s">
        <v>32</v>
      </c>
      <c r="F12" s="2">
        <v>8</v>
      </c>
    </row>
    <row r="13" spans="1:6" ht="29" x14ac:dyDescent="0.35">
      <c r="A13" s="2">
        <v>12</v>
      </c>
      <c r="B13" s="2" t="s">
        <v>33</v>
      </c>
      <c r="C13" s="2" t="s">
        <v>34</v>
      </c>
      <c r="D13" s="2" t="s">
        <v>19</v>
      </c>
      <c r="E13" s="2" t="s">
        <v>35</v>
      </c>
      <c r="F13" s="2">
        <v>9</v>
      </c>
    </row>
    <row r="14" spans="1:6" ht="29" x14ac:dyDescent="0.35">
      <c r="A14" s="2">
        <v>13</v>
      </c>
      <c r="B14" s="2" t="s">
        <v>33</v>
      </c>
      <c r="C14" s="2" t="s">
        <v>36</v>
      </c>
      <c r="D14" s="2" t="s">
        <v>19</v>
      </c>
      <c r="E14" s="2">
        <v>12</v>
      </c>
      <c r="F14" s="2">
        <v>10</v>
      </c>
    </row>
    <row r="15" spans="1:6" ht="29" x14ac:dyDescent="0.35">
      <c r="A15" s="2">
        <v>14</v>
      </c>
      <c r="B15" s="2" t="s">
        <v>33</v>
      </c>
      <c r="C15" s="2" t="s">
        <v>37</v>
      </c>
      <c r="D15" s="2" t="s">
        <v>38</v>
      </c>
      <c r="E15" s="2">
        <v>13</v>
      </c>
      <c r="F15" s="2">
        <v>11</v>
      </c>
    </row>
    <row r="16" spans="1:6" ht="29" x14ac:dyDescent="0.35">
      <c r="A16" s="2">
        <v>15</v>
      </c>
      <c r="B16" s="2" t="s">
        <v>33</v>
      </c>
      <c r="C16" s="2" t="s">
        <v>39</v>
      </c>
      <c r="D16" s="2" t="s">
        <v>19</v>
      </c>
      <c r="E16" s="2">
        <v>14</v>
      </c>
      <c r="F16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CFED-B8D1-48D2-9B80-E1D2715F246D}">
  <dimension ref="A3:B19"/>
  <sheetViews>
    <sheetView workbookViewId="0">
      <selection activeCell="D10" sqref="D10"/>
    </sheetView>
  </sheetViews>
  <sheetFormatPr defaultRowHeight="14.5" x14ac:dyDescent="0.35"/>
  <cols>
    <col min="1" max="1" width="22" bestFit="1" customWidth="1"/>
    <col min="2" max="2" width="27.7265625" customWidth="1"/>
  </cols>
  <sheetData>
    <row r="3" spans="1:2" x14ac:dyDescent="0.35">
      <c r="A3" s="5" t="s">
        <v>50</v>
      </c>
      <c r="B3" t="s">
        <v>53</v>
      </c>
    </row>
    <row r="4" spans="1:2" x14ac:dyDescent="0.35">
      <c r="A4" s="6" t="s">
        <v>23</v>
      </c>
      <c r="B4" s="7">
        <v>2</v>
      </c>
    </row>
    <row r="5" spans="1:2" x14ac:dyDescent="0.35">
      <c r="A5" s="6" t="s">
        <v>31</v>
      </c>
      <c r="B5" s="7">
        <v>2</v>
      </c>
    </row>
    <row r="6" spans="1:2" x14ac:dyDescent="0.35">
      <c r="A6" s="6" t="s">
        <v>16</v>
      </c>
      <c r="B6" s="7">
        <v>1.6666666666666667</v>
      </c>
    </row>
    <row r="7" spans="1:2" x14ac:dyDescent="0.35">
      <c r="A7" s="6" t="s">
        <v>25</v>
      </c>
      <c r="B7" s="7">
        <v>1.6666666666666667</v>
      </c>
    </row>
    <row r="8" spans="1:2" x14ac:dyDescent="0.35">
      <c r="A8" s="6" t="s">
        <v>10</v>
      </c>
      <c r="B8" s="7">
        <v>1.6666666666666667</v>
      </c>
    </row>
    <row r="9" spans="1:2" x14ac:dyDescent="0.35">
      <c r="A9" s="6" t="s">
        <v>36</v>
      </c>
      <c r="B9" s="7">
        <v>1.6666666666666667</v>
      </c>
    </row>
    <row r="10" spans="1:2" x14ac:dyDescent="0.35">
      <c r="A10" s="6" t="s">
        <v>34</v>
      </c>
      <c r="B10" s="7">
        <v>1.3333333333333333</v>
      </c>
    </row>
    <row r="11" spans="1:2" x14ac:dyDescent="0.35">
      <c r="A11" s="6" t="s">
        <v>18</v>
      </c>
      <c r="B11" s="7">
        <v>1.3333333333333333</v>
      </c>
    </row>
    <row r="12" spans="1:2" x14ac:dyDescent="0.35">
      <c r="A12" s="6" t="s">
        <v>39</v>
      </c>
      <c r="B12" s="7">
        <v>1.3333333333333333</v>
      </c>
    </row>
    <row r="13" spans="1:2" x14ac:dyDescent="0.35">
      <c r="A13" s="6" t="s">
        <v>21</v>
      </c>
      <c r="B13" s="7">
        <v>1.3333333333333333</v>
      </c>
    </row>
    <row r="14" spans="1:2" x14ac:dyDescent="0.35">
      <c r="A14" s="6" t="s">
        <v>7</v>
      </c>
      <c r="B14" s="7">
        <v>1</v>
      </c>
    </row>
    <row r="15" spans="1:2" x14ac:dyDescent="0.35">
      <c r="A15" s="6" t="s">
        <v>29</v>
      </c>
      <c r="B15" s="7">
        <v>1</v>
      </c>
    </row>
    <row r="16" spans="1:2" x14ac:dyDescent="0.35">
      <c r="A16" s="6" t="s">
        <v>37</v>
      </c>
      <c r="B16" s="7">
        <v>1</v>
      </c>
    </row>
    <row r="17" spans="1:2" x14ac:dyDescent="0.35">
      <c r="A17" s="6" t="s">
        <v>12</v>
      </c>
      <c r="B17" s="7">
        <v>0.33333333333333331</v>
      </c>
    </row>
    <row r="18" spans="1:2" x14ac:dyDescent="0.35">
      <c r="A18" s="6" t="s">
        <v>14</v>
      </c>
      <c r="B18" s="7">
        <v>0</v>
      </c>
    </row>
    <row r="19" spans="1:2" x14ac:dyDescent="0.35">
      <c r="A19" s="6" t="s">
        <v>51</v>
      </c>
      <c r="B19" s="7">
        <v>1.288888888888889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EAFC-E7F4-4FB6-86B6-86217C9C5B14}">
  <dimension ref="A3:B11"/>
  <sheetViews>
    <sheetView workbookViewId="0">
      <selection activeCell="K15" sqref="K15"/>
    </sheetView>
  </sheetViews>
  <sheetFormatPr defaultRowHeight="14.5" x14ac:dyDescent="0.35"/>
  <cols>
    <col min="1" max="1" width="17.81640625" bestFit="1" customWidth="1"/>
    <col min="2" max="2" width="14.90625" bestFit="1" customWidth="1"/>
  </cols>
  <sheetData>
    <row r="3" spans="1:2" x14ac:dyDescent="0.35">
      <c r="A3" s="5" t="s">
        <v>50</v>
      </c>
      <c r="B3" t="s">
        <v>52</v>
      </c>
    </row>
    <row r="4" spans="1:2" x14ac:dyDescent="0.35">
      <c r="A4" s="6" t="s">
        <v>8</v>
      </c>
      <c r="B4" s="7">
        <v>1.3333333333333333</v>
      </c>
    </row>
    <row r="5" spans="1:2" x14ac:dyDescent="0.35">
      <c r="A5" s="6" t="s">
        <v>13</v>
      </c>
      <c r="B5" s="7">
        <v>0.16666666666666666</v>
      </c>
    </row>
    <row r="6" spans="1:2" x14ac:dyDescent="0.35">
      <c r="A6" s="6" t="s">
        <v>38</v>
      </c>
      <c r="B6" s="7">
        <v>1</v>
      </c>
    </row>
    <row r="7" spans="1:2" x14ac:dyDescent="0.35">
      <c r="A7" s="6" t="s">
        <v>19</v>
      </c>
      <c r="B7" s="7">
        <v>1.5238095238095237</v>
      </c>
    </row>
    <row r="8" spans="1:2" x14ac:dyDescent="0.35">
      <c r="A8" s="6" t="s">
        <v>17</v>
      </c>
      <c r="B8" s="7">
        <v>1.6666666666666667</v>
      </c>
    </row>
    <row r="9" spans="1:2" x14ac:dyDescent="0.35">
      <c r="A9" s="6" t="s">
        <v>22</v>
      </c>
      <c r="B9" s="7">
        <v>1.3333333333333333</v>
      </c>
    </row>
    <row r="10" spans="1:2" x14ac:dyDescent="0.35">
      <c r="A10" s="6" t="s">
        <v>26</v>
      </c>
      <c r="B10" s="7">
        <v>1.6666666666666667</v>
      </c>
    </row>
    <row r="11" spans="1:2" x14ac:dyDescent="0.35">
      <c r="A11" s="6" t="s">
        <v>51</v>
      </c>
      <c r="B11" s="7">
        <v>1.288888888888889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33DA-9030-46C2-9945-703825D8B90F}">
  <dimension ref="A3:D20"/>
  <sheetViews>
    <sheetView workbookViewId="0">
      <selection activeCell="J13" sqref="J13"/>
    </sheetView>
  </sheetViews>
  <sheetFormatPr defaultRowHeight="14.5" x14ac:dyDescent="0.35"/>
  <cols>
    <col min="1" max="1" width="22" bestFit="1" customWidth="1"/>
    <col min="2" max="2" width="15.26953125" bestFit="1" customWidth="1"/>
    <col min="3" max="3" width="10.81640625" customWidth="1"/>
    <col min="4" max="4" width="10.6328125" customWidth="1"/>
    <col min="5" max="5" width="10.7265625" bestFit="1" customWidth="1"/>
  </cols>
  <sheetData>
    <row r="3" spans="1:4" x14ac:dyDescent="0.35">
      <c r="A3" s="5" t="s">
        <v>52</v>
      </c>
      <c r="B3" s="5" t="s">
        <v>54</v>
      </c>
    </row>
    <row r="4" spans="1:4" x14ac:dyDescent="0.35">
      <c r="A4" s="5" t="s">
        <v>50</v>
      </c>
      <c r="B4" t="s">
        <v>45</v>
      </c>
      <c r="C4" t="s">
        <v>46</v>
      </c>
      <c r="D4" t="s">
        <v>47</v>
      </c>
    </row>
    <row r="5" spans="1:4" x14ac:dyDescent="0.35">
      <c r="A5" s="6" t="s">
        <v>10</v>
      </c>
      <c r="B5" s="7">
        <v>1</v>
      </c>
      <c r="C5" s="7">
        <v>1</v>
      </c>
      <c r="D5" s="7">
        <v>3</v>
      </c>
    </row>
    <row r="6" spans="1:4" x14ac:dyDescent="0.35">
      <c r="A6" s="6" t="s">
        <v>14</v>
      </c>
      <c r="B6" s="7">
        <v>0</v>
      </c>
      <c r="C6" s="7">
        <v>0</v>
      </c>
      <c r="D6" s="7">
        <v>0</v>
      </c>
    </row>
    <row r="7" spans="1:4" x14ac:dyDescent="0.35">
      <c r="A7" s="6" t="s">
        <v>25</v>
      </c>
      <c r="B7" s="7">
        <v>2</v>
      </c>
      <c r="C7" s="7">
        <v>0</v>
      </c>
      <c r="D7" s="7">
        <v>3</v>
      </c>
    </row>
    <row r="8" spans="1:4" x14ac:dyDescent="0.35">
      <c r="A8" s="6" t="s">
        <v>39</v>
      </c>
      <c r="B8" s="7">
        <v>0</v>
      </c>
      <c r="C8" s="7">
        <v>1</v>
      </c>
      <c r="D8" s="7">
        <v>3</v>
      </c>
    </row>
    <row r="9" spans="1:4" x14ac:dyDescent="0.35">
      <c r="A9" s="6" t="s">
        <v>12</v>
      </c>
      <c r="B9" s="7">
        <v>0</v>
      </c>
      <c r="C9" s="7">
        <v>1</v>
      </c>
      <c r="D9" s="7">
        <v>0</v>
      </c>
    </row>
    <row r="10" spans="1:4" x14ac:dyDescent="0.35">
      <c r="A10" s="6" t="s">
        <v>29</v>
      </c>
      <c r="B10" s="7">
        <v>0</v>
      </c>
      <c r="C10" s="7">
        <v>3</v>
      </c>
      <c r="D10" s="7">
        <v>0</v>
      </c>
    </row>
    <row r="11" spans="1:4" x14ac:dyDescent="0.35">
      <c r="A11" s="6" t="s">
        <v>31</v>
      </c>
      <c r="B11" s="7">
        <v>1</v>
      </c>
      <c r="C11" s="7">
        <v>3</v>
      </c>
      <c r="D11" s="7">
        <v>2</v>
      </c>
    </row>
    <row r="12" spans="1:4" x14ac:dyDescent="0.35">
      <c r="A12" s="6" t="s">
        <v>36</v>
      </c>
      <c r="B12" s="7">
        <v>1</v>
      </c>
      <c r="C12" s="7">
        <v>1</v>
      </c>
      <c r="D12" s="7">
        <v>3</v>
      </c>
    </row>
    <row r="13" spans="1:4" x14ac:dyDescent="0.35">
      <c r="A13" s="6" t="s">
        <v>21</v>
      </c>
      <c r="B13" s="7">
        <v>3</v>
      </c>
      <c r="C13" s="7">
        <v>1</v>
      </c>
      <c r="D13" s="7">
        <v>0</v>
      </c>
    </row>
    <row r="14" spans="1:4" x14ac:dyDescent="0.35">
      <c r="A14" s="6" t="s">
        <v>23</v>
      </c>
      <c r="B14" s="7">
        <v>2</v>
      </c>
      <c r="C14" s="7">
        <v>1</v>
      </c>
      <c r="D14" s="7">
        <v>3</v>
      </c>
    </row>
    <row r="15" spans="1:4" x14ac:dyDescent="0.35">
      <c r="A15" s="6" t="s">
        <v>37</v>
      </c>
      <c r="B15" s="7">
        <v>0</v>
      </c>
      <c r="C15" s="7">
        <v>1</v>
      </c>
      <c r="D15" s="7">
        <v>2</v>
      </c>
    </row>
    <row r="16" spans="1:4" x14ac:dyDescent="0.35">
      <c r="A16" s="6" t="s">
        <v>18</v>
      </c>
      <c r="B16" s="7">
        <v>1</v>
      </c>
      <c r="C16" s="7">
        <v>2</v>
      </c>
      <c r="D16" s="7">
        <v>1</v>
      </c>
    </row>
    <row r="17" spans="1:4" x14ac:dyDescent="0.35">
      <c r="A17" s="6" t="s">
        <v>16</v>
      </c>
      <c r="B17" s="7">
        <v>2</v>
      </c>
      <c r="C17" s="7">
        <v>2</v>
      </c>
      <c r="D17" s="7">
        <v>1</v>
      </c>
    </row>
    <row r="18" spans="1:4" x14ac:dyDescent="0.35">
      <c r="A18" s="6" t="s">
        <v>34</v>
      </c>
      <c r="B18" s="7">
        <v>1</v>
      </c>
      <c r="C18" s="7">
        <v>1</v>
      </c>
      <c r="D18" s="7">
        <v>2</v>
      </c>
    </row>
    <row r="19" spans="1:4" x14ac:dyDescent="0.35">
      <c r="A19" s="6" t="s">
        <v>7</v>
      </c>
      <c r="B19" s="7">
        <v>0</v>
      </c>
      <c r="C19" s="7">
        <v>0</v>
      </c>
      <c r="D19" s="7">
        <v>3</v>
      </c>
    </row>
    <row r="20" spans="1:4" x14ac:dyDescent="0.35">
      <c r="A20" s="6" t="s">
        <v>51</v>
      </c>
      <c r="B20" s="7">
        <v>0.93333333333333335</v>
      </c>
      <c r="C20" s="7">
        <v>1.2</v>
      </c>
      <c r="D20" s="7">
        <v>1.7333333333333334</v>
      </c>
    </row>
  </sheetData>
  <conditionalFormatting sqref="A5:E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BC6E-84CA-4ADA-ADA6-DAFDC519A2D9}">
  <dimension ref="A1:Q46"/>
  <sheetViews>
    <sheetView zoomScaleNormal="100" workbookViewId="0">
      <selection activeCell="L4" sqref="L4"/>
    </sheetView>
  </sheetViews>
  <sheetFormatPr defaultRowHeight="14.5" x14ac:dyDescent="0.35"/>
  <cols>
    <col min="1" max="1" width="11.54296875" customWidth="1"/>
    <col min="3" max="3" width="12.6328125" customWidth="1"/>
    <col min="4" max="4" width="21.81640625" customWidth="1"/>
    <col min="5" max="5" width="18.08984375" customWidth="1"/>
    <col min="6" max="6" width="12.81640625" customWidth="1"/>
    <col min="7" max="7" width="12.90625" customWidth="1"/>
    <col min="8" max="8" width="13.36328125" customWidth="1"/>
    <col min="10" max="13" width="13.54296875" customWidth="1"/>
    <col min="14" max="14" width="19.54296875" customWidth="1"/>
    <col min="15" max="15" width="10.54296875" customWidth="1"/>
    <col min="16" max="16" width="23.90625" customWidth="1"/>
    <col min="17" max="17" width="21.36328125" customWidth="1"/>
  </cols>
  <sheetData>
    <row r="1" spans="1:17" x14ac:dyDescent="0.35">
      <c r="A1" s="3" t="s">
        <v>40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41</v>
      </c>
      <c r="I1" s="3" t="s">
        <v>42</v>
      </c>
      <c r="J1" s="3" t="s">
        <v>43</v>
      </c>
      <c r="K1" s="3" t="s">
        <v>56</v>
      </c>
      <c r="L1" s="3" t="s">
        <v>57</v>
      </c>
      <c r="M1" s="3"/>
    </row>
    <row r="2" spans="1:17" x14ac:dyDescent="0.35">
      <c r="A2" t="str" cm="1">
        <f t="array" ref="A2">INDEX({"Jan","Feb","Mar"},ROUNDUP(ROW(A1)/15,0))</f>
        <v>Jan</v>
      </c>
      <c r="B2" cm="1">
        <f t="array" ref="B2">INDEX(Task_Master!A$2:A$16,MOD(ROW()-2,15)+1)</f>
        <v>1</v>
      </c>
      <c r="C2" t="str" cm="1">
        <f t="array" ref="C2">INDEX(Task_Master!B:B,MOD(ROW(A1)-1,15)+2)</f>
        <v>AP</v>
      </c>
      <c r="D2" t="str" cm="1">
        <f t="array" ref="D2">INDEX(Task_Master!C:C,MOD(ROW(A1)-1,15)+2)</f>
        <v>Vendor Invoice Posting</v>
      </c>
      <c r="E2" t="str" cm="1">
        <f t="array" ref="E2">INDEX(Task_Master!D:D,MOD(ROW(A1)-1,15)+2)</f>
        <v>Accounts Payable</v>
      </c>
      <c r="F2" t="str" cm="1">
        <f t="array" ref="F2">INDEX(Task_Master!E:E,MOD(ROW(A1)-1,15)+2)</f>
        <v>None</v>
      </c>
      <c r="G2">
        <v>2</v>
      </c>
      <c r="H2">
        <v>2</v>
      </c>
      <c r="I2">
        <f>H2-G2</f>
        <v>0</v>
      </c>
      <c r="J2" t="str">
        <f>IF(I2=0,"On Time",IF(I2&lt;=2,"Minor Delay","Major Delay"))</f>
        <v>On Time</v>
      </c>
      <c r="K2">
        <f>H2-I2</f>
        <v>2</v>
      </c>
      <c r="L2">
        <f>IF(I2=0,0.3,I2)</f>
        <v>0.3</v>
      </c>
    </row>
    <row r="3" spans="1:17" ht="17.5" customHeight="1" x14ac:dyDescent="0.35">
      <c r="A3" t="str" cm="1">
        <f t="array" ref="A3">INDEX({"Jan","Feb","Mar"},ROUNDUP(ROW(A2)/15,0))</f>
        <v>Jan</v>
      </c>
      <c r="B3" cm="1">
        <f t="array" ref="B3">INDEX(Task_Master!A$2:A$16,MOD(ROW()-2,15)+1)</f>
        <v>2</v>
      </c>
      <c r="C3" t="str" cm="1">
        <f t="array" ref="C3">INDEX(Task_Master!B:B,MOD(ROW(A2)-1,15)+2)</f>
        <v>AP</v>
      </c>
      <c r="D3" t="str" cm="1">
        <f t="array" ref="D3">INDEX(Task_Master!C:C,MOD(ROW(A2)-1,15)+2)</f>
        <v>AP Reconciliation</v>
      </c>
      <c r="E3" t="str" cm="1">
        <f t="array" ref="E3">INDEX(Task_Master!D:D,MOD(ROW(A2)-1,15)+2)</f>
        <v>Accounts Payable</v>
      </c>
      <c r="F3" cm="1">
        <f t="array" ref="F3">INDEX(Task_Master!E:E,MOD(ROW(A2)-1,15)+2)</f>
        <v>1</v>
      </c>
      <c r="G3">
        <v>4</v>
      </c>
      <c r="H3">
        <v>5</v>
      </c>
      <c r="I3">
        <f t="shared" ref="I3:I46" si="0">H3-G3</f>
        <v>1</v>
      </c>
      <c r="J3" t="str">
        <f t="shared" ref="J3:J46" si="1">IF(I3=0,"On Time",IF(I3&lt;=2,"Minor Delay","Major Delay"))</f>
        <v>Minor Delay</v>
      </c>
      <c r="K3">
        <f t="shared" ref="K3:K46" si="2">H3-I3</f>
        <v>4</v>
      </c>
      <c r="L3">
        <f t="shared" ref="L3:L46" si="3">IF(I3=0,0.3,I3)</f>
        <v>1</v>
      </c>
    </row>
    <row r="4" spans="1:17" ht="14" customHeight="1" x14ac:dyDescent="0.35">
      <c r="A4" t="str" cm="1">
        <f t="array" ref="A4">INDEX({"Jan","Feb","Mar"},ROUNDUP(ROW(A3)/15,0))</f>
        <v>Jan</v>
      </c>
      <c r="B4" cm="1">
        <f t="array" ref="B4">INDEX(Task_Master!A$2:A$16,MOD(ROW()-2,15)+1)</f>
        <v>3</v>
      </c>
      <c r="C4" t="str" cm="1">
        <f t="array" ref="C4">INDEX(Task_Master!B:B,MOD(ROW(A3)-1,15)+2)</f>
        <v>AR</v>
      </c>
      <c r="D4" t="str" cm="1">
        <f t="array" ref="D4">INDEX(Task_Master!C:C,MOD(ROW(A3)-1,15)+2)</f>
        <v>Customer Invoice Posting</v>
      </c>
      <c r="E4" t="str" cm="1">
        <f t="array" ref="E4">INDEX(Task_Master!D:D,MOD(ROW(A3)-1,15)+2)</f>
        <v>Accounts Receivable</v>
      </c>
      <c r="F4" t="str" cm="1">
        <f t="array" ref="F4">INDEX(Task_Master!E:E,MOD(ROW(A3)-1,15)+2)</f>
        <v>None</v>
      </c>
      <c r="G4">
        <v>3</v>
      </c>
      <c r="H4">
        <v>3</v>
      </c>
      <c r="I4">
        <f t="shared" si="0"/>
        <v>0</v>
      </c>
      <c r="J4" t="str">
        <f t="shared" si="1"/>
        <v>On Time</v>
      </c>
      <c r="K4">
        <f t="shared" si="2"/>
        <v>3</v>
      </c>
      <c r="L4">
        <f t="shared" si="3"/>
        <v>0.3</v>
      </c>
      <c r="O4" s="1" t="s">
        <v>44</v>
      </c>
      <c r="P4" s="1" t="s">
        <v>48</v>
      </c>
      <c r="Q4" s="4" t="s">
        <v>49</v>
      </c>
    </row>
    <row r="5" spans="1:17" x14ac:dyDescent="0.35">
      <c r="A5" t="str" cm="1">
        <f t="array" ref="A5">INDEX({"Jan","Feb","Mar"},ROUNDUP(ROW(A4)/15,0))</f>
        <v>Jan</v>
      </c>
      <c r="B5" cm="1">
        <f t="array" ref="B5">INDEX(Task_Master!A$2:A$16,MOD(ROW()-2,15)+1)</f>
        <v>4</v>
      </c>
      <c r="C5" t="str" cm="1">
        <f t="array" ref="C5">INDEX(Task_Master!B:B,MOD(ROW(A4)-1,15)+2)</f>
        <v>AR</v>
      </c>
      <c r="D5" t="str" cm="1">
        <f t="array" ref="D5">INDEX(Task_Master!C:C,MOD(ROW(A4)-1,15)+2)</f>
        <v>AR Reconciliation</v>
      </c>
      <c r="E5" t="str" cm="1">
        <f t="array" ref="E5">INDEX(Task_Master!D:D,MOD(ROW(A4)-1,15)+2)</f>
        <v>Accounts Receivable</v>
      </c>
      <c r="F5" cm="1">
        <f t="array" ref="F5">INDEX(Task_Master!E:E,MOD(ROW(A4)-1,15)+2)</f>
        <v>3</v>
      </c>
      <c r="G5">
        <v>5</v>
      </c>
      <c r="H5">
        <v>5</v>
      </c>
      <c r="I5">
        <f t="shared" si="0"/>
        <v>0</v>
      </c>
      <c r="J5" t="str">
        <f t="shared" si="1"/>
        <v>On Time</v>
      </c>
      <c r="K5">
        <f t="shared" si="2"/>
        <v>5</v>
      </c>
      <c r="L5">
        <f t="shared" si="3"/>
        <v>0.3</v>
      </c>
      <c r="O5" s="2" t="s">
        <v>45</v>
      </c>
      <c r="P5" s="2">
        <v>10</v>
      </c>
      <c r="Q5">
        <v>10</v>
      </c>
    </row>
    <row r="6" spans="1:17" x14ac:dyDescent="0.35">
      <c r="A6" t="str" cm="1">
        <f t="array" ref="A6">INDEX({"Jan","Feb","Mar"},ROUNDUP(ROW(A5)/15,0))</f>
        <v>Jan</v>
      </c>
      <c r="B6" cm="1">
        <f t="array" ref="B6">INDEX(Task_Master!A$2:A$16,MOD(ROW()-2,15)+1)</f>
        <v>5</v>
      </c>
      <c r="C6" t="str" cm="1">
        <f t="array" ref="C6">INDEX(Task_Master!B:B,MOD(ROW(A5)-1,15)+2)</f>
        <v>Payroll</v>
      </c>
      <c r="D6" t="str" cm="1">
        <f t="array" ref="D6">INDEX(Task_Master!C:C,MOD(ROW(A5)-1,15)+2)</f>
        <v>Salary Processing</v>
      </c>
      <c r="E6" t="str" cm="1">
        <f t="array" ref="E6">INDEX(Task_Master!D:D,MOD(ROW(A5)-1,15)+2)</f>
        <v>HR/Payroll</v>
      </c>
      <c r="F6" t="str" cm="1">
        <f t="array" ref="F6">INDEX(Task_Master!E:E,MOD(ROW(A5)-1,15)+2)</f>
        <v>None</v>
      </c>
      <c r="G6">
        <v>4</v>
      </c>
      <c r="H6">
        <v>6</v>
      </c>
      <c r="I6">
        <f t="shared" si="0"/>
        <v>2</v>
      </c>
      <c r="J6" t="str">
        <f t="shared" si="1"/>
        <v>Minor Delay</v>
      </c>
      <c r="K6">
        <f t="shared" si="2"/>
        <v>4</v>
      </c>
      <c r="L6">
        <f t="shared" si="3"/>
        <v>2</v>
      </c>
      <c r="O6" s="2" t="s">
        <v>46</v>
      </c>
      <c r="P6" s="2">
        <v>15</v>
      </c>
      <c r="Q6">
        <v>16</v>
      </c>
    </row>
    <row r="7" spans="1:17" x14ac:dyDescent="0.35">
      <c r="A7" t="str" cm="1">
        <f t="array" ref="A7">INDEX({"Jan","Feb","Mar"},ROUNDUP(ROW(A6)/15,0))</f>
        <v>Jan</v>
      </c>
      <c r="B7" cm="1">
        <f t="array" ref="B7">INDEX(Task_Master!A$2:A$16,MOD(ROW()-2,15)+1)</f>
        <v>6</v>
      </c>
      <c r="C7" t="str" cm="1">
        <f t="array" ref="C7">INDEX(Task_Master!B:B,MOD(ROW(A6)-1,15)+2)</f>
        <v>Payroll</v>
      </c>
      <c r="D7" t="str" cm="1">
        <f t="array" ref="D7">INDEX(Task_Master!C:C,MOD(ROW(A6)-1,15)+2)</f>
        <v>Payroll Journal Entry</v>
      </c>
      <c r="E7" t="str" cm="1">
        <f t="array" ref="E7">INDEX(Task_Master!D:D,MOD(ROW(A6)-1,15)+2)</f>
        <v>Finance</v>
      </c>
      <c r="F7" cm="1">
        <f t="array" ref="F7">INDEX(Task_Master!E:E,MOD(ROW(A6)-1,15)+2)</f>
        <v>5</v>
      </c>
      <c r="G7">
        <v>6</v>
      </c>
      <c r="H7">
        <v>7</v>
      </c>
      <c r="I7">
        <f t="shared" si="0"/>
        <v>1</v>
      </c>
      <c r="J7" t="str">
        <f t="shared" si="1"/>
        <v>Minor Delay</v>
      </c>
      <c r="K7">
        <f t="shared" si="2"/>
        <v>6</v>
      </c>
      <c r="L7">
        <f t="shared" si="3"/>
        <v>1</v>
      </c>
      <c r="O7" s="2" t="s">
        <v>47</v>
      </c>
      <c r="P7" s="2">
        <v>12</v>
      </c>
      <c r="Q7">
        <v>15</v>
      </c>
    </row>
    <row r="8" spans="1:17" x14ac:dyDescent="0.35">
      <c r="A8" t="str" cm="1">
        <f t="array" ref="A8">INDEX({"Jan","Feb","Mar"},ROUNDUP(ROW(A7)/15,0))</f>
        <v>Jan</v>
      </c>
      <c r="B8" cm="1">
        <f t="array" ref="B8">INDEX(Task_Master!A$2:A$16,MOD(ROW()-2,15)+1)</f>
        <v>7</v>
      </c>
      <c r="C8" t="str" cm="1">
        <f t="array" ref="C8">INDEX(Task_Master!B:B,MOD(ROW(A7)-1,15)+2)</f>
        <v>Inventory</v>
      </c>
      <c r="D8" t="str" cm="1">
        <f t="array" ref="D8">INDEX(Task_Master!C:C,MOD(ROW(A7)-1,15)+2)</f>
        <v>Inventory Count</v>
      </c>
      <c r="E8" t="str" cm="1">
        <f t="array" ref="E8">INDEX(Task_Master!D:D,MOD(ROW(A7)-1,15)+2)</f>
        <v>Operations</v>
      </c>
      <c r="F8" t="str" cm="1">
        <f t="array" ref="F8">INDEX(Task_Master!E:E,MOD(ROW(A7)-1,15)+2)</f>
        <v>None</v>
      </c>
      <c r="G8">
        <v>2</v>
      </c>
      <c r="H8">
        <v>5</v>
      </c>
      <c r="I8">
        <f t="shared" si="0"/>
        <v>3</v>
      </c>
      <c r="J8" t="str">
        <f t="shared" si="1"/>
        <v>Major Delay</v>
      </c>
      <c r="K8">
        <f t="shared" si="2"/>
        <v>2</v>
      </c>
      <c r="L8">
        <f t="shared" si="3"/>
        <v>3</v>
      </c>
    </row>
    <row r="9" spans="1:17" x14ac:dyDescent="0.35">
      <c r="A9" t="str" cm="1">
        <f t="array" ref="A9">INDEX({"Jan","Feb","Mar"},ROUNDUP(ROW(A8)/15,0))</f>
        <v>Jan</v>
      </c>
      <c r="B9" cm="1">
        <f t="array" ref="B9">INDEX(Task_Master!A$2:A$16,MOD(ROW()-2,15)+1)</f>
        <v>8</v>
      </c>
      <c r="C9" t="str" cm="1">
        <f t="array" ref="C9">INDEX(Task_Master!B:B,MOD(ROW(A8)-1,15)+2)</f>
        <v>Inventory</v>
      </c>
      <c r="D9" t="str" cm="1">
        <f t="array" ref="D9">INDEX(Task_Master!C:C,MOD(ROW(A8)-1,15)+2)</f>
        <v>Inventory Valuation</v>
      </c>
      <c r="E9" t="str" cm="1">
        <f t="array" ref="E9">INDEX(Task_Master!D:D,MOD(ROW(A8)-1,15)+2)</f>
        <v>Finance</v>
      </c>
      <c r="F9" cm="1">
        <f t="array" ref="F9">INDEX(Task_Master!E:E,MOD(ROW(A8)-1,15)+2)</f>
        <v>7</v>
      </c>
      <c r="G9">
        <v>3</v>
      </c>
      <c r="H9">
        <v>5</v>
      </c>
      <c r="I9">
        <f t="shared" si="0"/>
        <v>2</v>
      </c>
      <c r="J9" t="str">
        <f t="shared" si="1"/>
        <v>Minor Delay</v>
      </c>
      <c r="K9">
        <f t="shared" si="2"/>
        <v>3</v>
      </c>
      <c r="L9">
        <f t="shared" si="3"/>
        <v>2</v>
      </c>
    </row>
    <row r="10" spans="1:17" x14ac:dyDescent="0.35">
      <c r="A10" t="str" cm="1">
        <f t="array" ref="A10">INDEX({"Jan","Feb","Mar"},ROUNDUP(ROW(A9)/15,0))</f>
        <v>Jan</v>
      </c>
      <c r="B10" cm="1">
        <f t="array" ref="B10">INDEX(Task_Master!A$2:A$16,MOD(ROW()-2,15)+1)</f>
        <v>9</v>
      </c>
      <c r="C10" t="str" cm="1">
        <f t="array" ref="C10">INDEX(Task_Master!B:B,MOD(ROW(A9)-1,15)+2)</f>
        <v>Cash</v>
      </c>
      <c r="D10" t="str" cm="1">
        <f t="array" ref="D10">INDEX(Task_Master!C:C,MOD(ROW(A9)-1,15)+2)</f>
        <v>Bank Reconciliation</v>
      </c>
      <c r="E10" t="str" cm="1">
        <f t="array" ref="E10">INDEX(Task_Master!D:D,MOD(ROW(A9)-1,15)+2)</f>
        <v>Treasury</v>
      </c>
      <c r="F10" t="str" cm="1">
        <f t="array" ref="F10">INDEX(Task_Master!E:E,MOD(ROW(A9)-1,15)+2)</f>
        <v>1,3</v>
      </c>
      <c r="G10">
        <v>5</v>
      </c>
      <c r="H10">
        <v>7</v>
      </c>
      <c r="I10">
        <f t="shared" si="0"/>
        <v>2</v>
      </c>
      <c r="J10" t="str">
        <f t="shared" si="1"/>
        <v>Minor Delay</v>
      </c>
      <c r="K10">
        <f t="shared" si="2"/>
        <v>5</v>
      </c>
      <c r="L10">
        <f t="shared" si="3"/>
        <v>2</v>
      </c>
    </row>
    <row r="11" spans="1:17" x14ac:dyDescent="0.35">
      <c r="A11" t="str" cm="1">
        <f t="array" ref="A11">INDEX({"Jan","Feb","Mar"},ROUNDUP(ROW(A10)/15,0))</f>
        <v>Jan</v>
      </c>
      <c r="B11" cm="1">
        <f t="array" ref="B11">INDEX(Task_Master!A$2:A$16,MOD(ROW()-2,15)+1)</f>
        <v>10</v>
      </c>
      <c r="C11" t="str" cm="1">
        <f t="array" ref="C11">INDEX(Task_Master!B:B,MOD(ROW(A10)-1,15)+2)</f>
        <v>Fixed Assets</v>
      </c>
      <c r="D11" t="str" cm="1">
        <f t="array" ref="D11">INDEX(Task_Master!C:C,MOD(ROW(A10)-1,15)+2)</f>
        <v>Depreciation Run</v>
      </c>
      <c r="E11" t="str" cm="1">
        <f t="array" ref="E11">INDEX(Task_Master!D:D,MOD(ROW(A10)-1,15)+2)</f>
        <v>Finance</v>
      </c>
      <c r="F11" t="str" cm="1">
        <f t="array" ref="F11">INDEX(Task_Master!E:E,MOD(ROW(A10)-1,15)+2)</f>
        <v>None</v>
      </c>
      <c r="G11">
        <v>1</v>
      </c>
      <c r="H11">
        <v>1</v>
      </c>
      <c r="I11">
        <f t="shared" si="0"/>
        <v>0</v>
      </c>
      <c r="J11" t="str">
        <f t="shared" si="1"/>
        <v>On Time</v>
      </c>
      <c r="K11">
        <f t="shared" si="2"/>
        <v>1</v>
      </c>
      <c r="L11">
        <f t="shared" si="3"/>
        <v>0.3</v>
      </c>
    </row>
    <row r="12" spans="1:17" x14ac:dyDescent="0.35">
      <c r="A12" t="str" cm="1">
        <f t="array" ref="A12">INDEX({"Jan","Feb","Mar"},ROUNDUP(ROW(A11)/15,0))</f>
        <v>Jan</v>
      </c>
      <c r="B12" cm="1">
        <f t="array" ref="B12">INDEX(Task_Master!A$2:A$16,MOD(ROW()-2,15)+1)</f>
        <v>11</v>
      </c>
      <c r="C12" t="str" cm="1">
        <f t="array" ref="C12">INDEX(Task_Master!B:B,MOD(ROW(A11)-1,15)+2)</f>
        <v>Accruals</v>
      </c>
      <c r="D12" t="str" cm="1">
        <f t="array" ref="D12">INDEX(Task_Master!C:C,MOD(ROW(A11)-1,15)+2)</f>
        <v>Expense Accrual Posting</v>
      </c>
      <c r="E12" t="str" cm="1">
        <f t="array" ref="E12">INDEX(Task_Master!D:D,MOD(ROW(A11)-1,15)+2)</f>
        <v>Finance</v>
      </c>
      <c r="F12" t="str" cm="1">
        <f t="array" ref="F12">INDEX(Task_Master!E:E,MOD(ROW(A11)-1,15)+2)</f>
        <v>2,4,8</v>
      </c>
      <c r="G12">
        <v>6</v>
      </c>
      <c r="H12">
        <v>7</v>
      </c>
      <c r="I12">
        <f t="shared" si="0"/>
        <v>1</v>
      </c>
      <c r="J12" t="str">
        <f t="shared" si="1"/>
        <v>Minor Delay</v>
      </c>
      <c r="K12">
        <f t="shared" si="2"/>
        <v>6</v>
      </c>
      <c r="L12">
        <f t="shared" si="3"/>
        <v>1</v>
      </c>
    </row>
    <row r="13" spans="1:17" x14ac:dyDescent="0.35">
      <c r="A13" t="str" cm="1">
        <f t="array" ref="A13">INDEX({"Jan","Feb","Mar"},ROUNDUP(ROW(A12)/15,0))</f>
        <v>Jan</v>
      </c>
      <c r="B13" cm="1">
        <f t="array" ref="B13">INDEX(Task_Master!A$2:A$16,MOD(ROW()-2,15)+1)</f>
        <v>12</v>
      </c>
      <c r="C13" t="str" cm="1">
        <f t="array" ref="C13">INDEX(Task_Master!B:B,MOD(ROW(A12)-1,15)+2)</f>
        <v>Reporting</v>
      </c>
      <c r="D13" t="str" cm="1">
        <f t="array" ref="D13">INDEX(Task_Master!C:C,MOD(ROW(A12)-1,15)+2)</f>
        <v>Trial Balance Review</v>
      </c>
      <c r="E13" t="str" cm="1">
        <f t="array" ref="E13">INDEX(Task_Master!D:D,MOD(ROW(A12)-1,15)+2)</f>
        <v>Finance</v>
      </c>
      <c r="F13" t="str" cm="1">
        <f t="array" ref="F13">INDEX(Task_Master!E:E,MOD(ROW(A12)-1,15)+2)</f>
        <v>6,9,10,11</v>
      </c>
      <c r="G13">
        <v>7</v>
      </c>
      <c r="H13">
        <v>8</v>
      </c>
      <c r="I13">
        <f t="shared" si="0"/>
        <v>1</v>
      </c>
      <c r="J13" t="str">
        <f t="shared" si="1"/>
        <v>Minor Delay</v>
      </c>
      <c r="K13">
        <f t="shared" si="2"/>
        <v>7</v>
      </c>
      <c r="L13">
        <f t="shared" si="3"/>
        <v>1</v>
      </c>
      <c r="O13" s="1" t="s">
        <v>44</v>
      </c>
      <c r="P13" s="1" t="s">
        <v>55</v>
      </c>
    </row>
    <row r="14" spans="1:17" x14ac:dyDescent="0.35">
      <c r="A14" t="str" cm="1">
        <f t="array" ref="A14">INDEX({"Jan","Feb","Mar"},ROUNDUP(ROW(A13)/15,0))</f>
        <v>Jan</v>
      </c>
      <c r="B14" cm="1">
        <f t="array" ref="B14">INDEX(Task_Master!A$2:A$16,MOD(ROW()-2,15)+1)</f>
        <v>13</v>
      </c>
      <c r="C14" t="str" cm="1">
        <f t="array" ref="C14">INDEX(Task_Master!B:B,MOD(ROW(A13)-1,15)+2)</f>
        <v>Reporting</v>
      </c>
      <c r="D14" t="str" cm="1">
        <f t="array" ref="D14">INDEX(Task_Master!C:C,MOD(ROW(A13)-1,15)+2)</f>
        <v>Financial Statement Prep</v>
      </c>
      <c r="E14" t="str" cm="1">
        <f t="array" ref="E14">INDEX(Task_Master!D:D,MOD(ROW(A13)-1,15)+2)</f>
        <v>Finance</v>
      </c>
      <c r="F14" cm="1">
        <f t="array" ref="F14">INDEX(Task_Master!E:E,MOD(ROW(A13)-1,15)+2)</f>
        <v>12</v>
      </c>
      <c r="G14">
        <v>8</v>
      </c>
      <c r="H14">
        <v>9</v>
      </c>
      <c r="I14">
        <f t="shared" si="0"/>
        <v>1</v>
      </c>
      <c r="J14" t="str">
        <f t="shared" si="1"/>
        <v>Minor Delay</v>
      </c>
      <c r="K14">
        <f t="shared" si="2"/>
        <v>8</v>
      </c>
      <c r="L14">
        <f t="shared" si="3"/>
        <v>1</v>
      </c>
      <c r="O14" s="2" t="s">
        <v>45</v>
      </c>
      <c r="P14" s="2">
        <v>10</v>
      </c>
    </row>
    <row r="15" spans="1:17" x14ac:dyDescent="0.35">
      <c r="A15" t="str" cm="1">
        <f t="array" ref="A15">INDEX({"Jan","Feb","Mar"},ROUNDUP(ROW(A14)/15,0))</f>
        <v>Jan</v>
      </c>
      <c r="B15" cm="1">
        <f t="array" ref="B15">INDEX(Task_Master!A$2:A$16,MOD(ROW()-2,15)+1)</f>
        <v>14</v>
      </c>
      <c r="C15" t="str" cm="1">
        <f t="array" ref="C15">INDEX(Task_Master!B:B,MOD(ROW(A14)-1,15)+2)</f>
        <v>Reporting</v>
      </c>
      <c r="D15" t="str" cm="1">
        <f t="array" ref="D15">INDEX(Task_Master!C:C,MOD(ROW(A14)-1,15)+2)</f>
        <v>Management Review</v>
      </c>
      <c r="E15" t="str" cm="1">
        <f t="array" ref="E15">INDEX(Task_Master!D:D,MOD(ROW(A14)-1,15)+2)</f>
        <v>CFO Office</v>
      </c>
      <c r="F15" cm="1">
        <f t="array" ref="F15">INDEX(Task_Master!E:E,MOD(ROW(A14)-1,15)+2)</f>
        <v>13</v>
      </c>
      <c r="G15">
        <v>9</v>
      </c>
      <c r="H15">
        <v>9</v>
      </c>
      <c r="I15">
        <f t="shared" si="0"/>
        <v>0</v>
      </c>
      <c r="J15" t="str">
        <f t="shared" si="1"/>
        <v>On Time</v>
      </c>
      <c r="K15">
        <f t="shared" si="2"/>
        <v>9</v>
      </c>
      <c r="L15">
        <f t="shared" si="3"/>
        <v>0.3</v>
      </c>
      <c r="O15" s="2" t="s">
        <v>46</v>
      </c>
      <c r="P15" s="2">
        <v>16</v>
      </c>
    </row>
    <row r="16" spans="1:17" x14ac:dyDescent="0.35">
      <c r="A16" t="str" cm="1">
        <f t="array" ref="A16">INDEX({"Jan","Feb","Mar"},ROUNDUP(ROW(A15)/15,0))</f>
        <v>Jan</v>
      </c>
      <c r="B16" cm="1">
        <f t="array" ref="B16">INDEX(Task_Master!A$2:A$16,MOD(ROW()-2,15)+1)</f>
        <v>15</v>
      </c>
      <c r="C16" t="str" cm="1">
        <f t="array" ref="C16">INDEX(Task_Master!B:B,MOD(ROW(A15)-1,15)+2)</f>
        <v>Reporting</v>
      </c>
      <c r="D16" t="str" cm="1">
        <f t="array" ref="D16">INDEX(Task_Master!C:C,MOD(ROW(A15)-1,15)+2)</f>
        <v>Books Closed</v>
      </c>
      <c r="E16" t="str" cm="1">
        <f t="array" ref="E16">INDEX(Task_Master!D:D,MOD(ROW(A15)-1,15)+2)</f>
        <v>Finance</v>
      </c>
      <c r="F16" cm="1">
        <f t="array" ref="F16">INDEX(Task_Master!E:E,MOD(ROW(A15)-1,15)+2)</f>
        <v>14</v>
      </c>
      <c r="G16">
        <v>10</v>
      </c>
      <c r="H16">
        <v>10</v>
      </c>
      <c r="I16">
        <f t="shared" si="0"/>
        <v>0</v>
      </c>
      <c r="J16" t="str">
        <f t="shared" si="1"/>
        <v>On Time</v>
      </c>
      <c r="K16">
        <f t="shared" si="2"/>
        <v>10</v>
      </c>
      <c r="L16">
        <f t="shared" si="3"/>
        <v>0.3</v>
      </c>
      <c r="O16" s="2" t="s">
        <v>47</v>
      </c>
      <c r="P16" s="2">
        <v>15</v>
      </c>
    </row>
    <row r="17" spans="1:12" x14ac:dyDescent="0.35">
      <c r="A17" t="str" cm="1">
        <f t="array" ref="A17">INDEX({"Jan","Feb","Mar"},ROUNDUP(ROW(A16)/15,0))</f>
        <v>Feb</v>
      </c>
      <c r="B17" cm="1">
        <f t="array" ref="B17">INDEX(Task_Master!A$2:A$16,MOD(ROW()-2,15)+1)</f>
        <v>1</v>
      </c>
      <c r="C17" t="str" cm="1">
        <f t="array" ref="C17">INDEX(Task_Master!B:B,MOD(ROW(A16)-1,15)+2)</f>
        <v>AP</v>
      </c>
      <c r="D17" t="str" cm="1">
        <f t="array" ref="D17">INDEX(Task_Master!C:C,MOD(ROW(A16)-1,15)+2)</f>
        <v>Vendor Invoice Posting</v>
      </c>
      <c r="E17" t="str" cm="1">
        <f t="array" ref="E17">INDEX(Task_Master!D:D,MOD(ROW(A16)-1,15)+2)</f>
        <v>Accounts Payable</v>
      </c>
      <c r="F17" t="str" cm="1">
        <f t="array" ref="F17">INDEX(Task_Master!E:E,MOD(ROW(A16)-1,15)+2)</f>
        <v>None</v>
      </c>
      <c r="G17">
        <v>4</v>
      </c>
      <c r="H17">
        <v>4</v>
      </c>
      <c r="I17">
        <f t="shared" si="0"/>
        <v>0</v>
      </c>
      <c r="J17" t="str">
        <f t="shared" si="1"/>
        <v>On Time</v>
      </c>
      <c r="K17">
        <f t="shared" si="2"/>
        <v>4</v>
      </c>
      <c r="L17">
        <f t="shared" si="3"/>
        <v>0.3</v>
      </c>
    </row>
    <row r="18" spans="1:12" x14ac:dyDescent="0.35">
      <c r="A18" t="str" cm="1">
        <f t="array" ref="A18">INDEX({"Jan","Feb","Mar"},ROUNDUP(ROW(A17)/15,0))</f>
        <v>Feb</v>
      </c>
      <c r="B18" cm="1">
        <f t="array" ref="B18">INDEX(Task_Master!A$2:A$16,MOD(ROW()-2,15)+1)</f>
        <v>2</v>
      </c>
      <c r="C18" t="str" cm="1">
        <f t="array" ref="C18">INDEX(Task_Master!B:B,MOD(ROW(A17)-1,15)+2)</f>
        <v>AP</v>
      </c>
      <c r="D18" t="str" cm="1">
        <f t="array" ref="D18">INDEX(Task_Master!C:C,MOD(ROW(A17)-1,15)+2)</f>
        <v>AP Reconciliation</v>
      </c>
      <c r="E18" t="str" cm="1">
        <f t="array" ref="E18">INDEX(Task_Master!D:D,MOD(ROW(A17)-1,15)+2)</f>
        <v>Accounts Payable</v>
      </c>
      <c r="F18" cm="1">
        <f t="array" ref="F18">INDEX(Task_Master!E:E,MOD(ROW(A17)-1,15)+2)</f>
        <v>1</v>
      </c>
      <c r="G18">
        <v>5</v>
      </c>
      <c r="H18">
        <v>6</v>
      </c>
      <c r="I18">
        <f t="shared" si="0"/>
        <v>1</v>
      </c>
      <c r="J18" t="str">
        <f t="shared" si="1"/>
        <v>Minor Delay</v>
      </c>
      <c r="K18">
        <f t="shared" si="2"/>
        <v>5</v>
      </c>
      <c r="L18">
        <f t="shared" si="3"/>
        <v>1</v>
      </c>
    </row>
    <row r="19" spans="1:12" x14ac:dyDescent="0.35">
      <c r="A19" t="str" cm="1">
        <f t="array" ref="A19">INDEX({"Jan","Feb","Mar"},ROUNDUP(ROW(A18)/15,0))</f>
        <v>Feb</v>
      </c>
      <c r="B19" cm="1">
        <f t="array" ref="B19">INDEX(Task_Master!A$2:A$16,MOD(ROW()-2,15)+1)</f>
        <v>3</v>
      </c>
      <c r="C19" t="str" cm="1">
        <f t="array" ref="C19">INDEX(Task_Master!B:B,MOD(ROW(A18)-1,15)+2)</f>
        <v>AR</v>
      </c>
      <c r="D19" t="str" cm="1">
        <f t="array" ref="D19">INDEX(Task_Master!C:C,MOD(ROW(A18)-1,15)+2)</f>
        <v>Customer Invoice Posting</v>
      </c>
      <c r="E19" t="str" cm="1">
        <f t="array" ref="E19">INDEX(Task_Master!D:D,MOD(ROW(A18)-1,15)+2)</f>
        <v>Accounts Receivable</v>
      </c>
      <c r="F19" t="str" cm="1">
        <f t="array" ref="F19">INDEX(Task_Master!E:E,MOD(ROW(A18)-1,15)+2)</f>
        <v>None</v>
      </c>
      <c r="G19">
        <v>4</v>
      </c>
      <c r="H19">
        <v>5</v>
      </c>
      <c r="I19">
        <f t="shared" si="0"/>
        <v>1</v>
      </c>
      <c r="J19" t="str">
        <f t="shared" si="1"/>
        <v>Minor Delay</v>
      </c>
      <c r="K19">
        <f t="shared" si="2"/>
        <v>4</v>
      </c>
      <c r="L19">
        <f t="shared" si="3"/>
        <v>1</v>
      </c>
    </row>
    <row r="20" spans="1:12" x14ac:dyDescent="0.35">
      <c r="A20" t="str" cm="1">
        <f t="array" ref="A20">INDEX({"Jan","Feb","Mar"},ROUNDUP(ROW(A19)/15,0))</f>
        <v>Feb</v>
      </c>
      <c r="B20" cm="1">
        <f t="array" ref="B20">INDEX(Task_Master!A$2:A$16,MOD(ROW()-2,15)+1)</f>
        <v>4</v>
      </c>
      <c r="C20" t="str" cm="1">
        <f t="array" ref="C20">INDEX(Task_Master!B:B,MOD(ROW(A19)-1,15)+2)</f>
        <v>AR</v>
      </c>
      <c r="D20" t="str" cm="1">
        <f t="array" ref="D20">INDEX(Task_Master!C:C,MOD(ROW(A19)-1,15)+2)</f>
        <v>AR Reconciliation</v>
      </c>
      <c r="E20" t="str" cm="1">
        <f t="array" ref="E20">INDEX(Task_Master!D:D,MOD(ROW(A19)-1,15)+2)</f>
        <v>Accounts Receivable</v>
      </c>
      <c r="F20" cm="1">
        <f t="array" ref="F20">INDEX(Task_Master!E:E,MOD(ROW(A19)-1,15)+2)</f>
        <v>3</v>
      </c>
      <c r="G20">
        <v>5</v>
      </c>
      <c r="H20">
        <v>5</v>
      </c>
      <c r="I20">
        <f t="shared" si="0"/>
        <v>0</v>
      </c>
      <c r="J20" t="str">
        <f t="shared" si="1"/>
        <v>On Time</v>
      </c>
      <c r="K20">
        <f t="shared" si="2"/>
        <v>5</v>
      </c>
      <c r="L20">
        <f t="shared" si="3"/>
        <v>0.3</v>
      </c>
    </row>
    <row r="21" spans="1:12" x14ac:dyDescent="0.35">
      <c r="A21" t="str" cm="1">
        <f t="array" ref="A21">INDEX({"Jan","Feb","Mar"},ROUNDUP(ROW(A20)/15,0))</f>
        <v>Feb</v>
      </c>
      <c r="B21" cm="1">
        <f t="array" ref="B21">INDEX(Task_Master!A$2:A$16,MOD(ROW()-2,15)+1)</f>
        <v>5</v>
      </c>
      <c r="C21" t="str" cm="1">
        <f t="array" ref="C21">INDEX(Task_Master!B:B,MOD(ROW(A20)-1,15)+2)</f>
        <v>Payroll</v>
      </c>
      <c r="D21" t="str" cm="1">
        <f t="array" ref="D21">INDEX(Task_Master!C:C,MOD(ROW(A20)-1,15)+2)</f>
        <v>Salary Processing</v>
      </c>
      <c r="E21" t="str" cm="1">
        <f t="array" ref="E21">INDEX(Task_Master!D:D,MOD(ROW(A20)-1,15)+2)</f>
        <v>HR/Payroll</v>
      </c>
      <c r="F21" t="str" cm="1">
        <f t="array" ref="F21">INDEX(Task_Master!E:E,MOD(ROW(A20)-1,15)+2)</f>
        <v>None</v>
      </c>
      <c r="G21">
        <v>6</v>
      </c>
      <c r="H21">
        <v>8</v>
      </c>
      <c r="I21">
        <f t="shared" si="0"/>
        <v>2</v>
      </c>
      <c r="J21" t="str">
        <f t="shared" si="1"/>
        <v>Minor Delay</v>
      </c>
      <c r="K21">
        <f t="shared" si="2"/>
        <v>6</v>
      </c>
      <c r="L21">
        <f t="shared" si="3"/>
        <v>2</v>
      </c>
    </row>
    <row r="22" spans="1:12" x14ac:dyDescent="0.35">
      <c r="A22" t="str" cm="1">
        <f t="array" ref="A22">INDEX({"Jan","Feb","Mar"},ROUNDUP(ROW(A21)/15,0))</f>
        <v>Feb</v>
      </c>
      <c r="B22" cm="1">
        <f t="array" ref="B22">INDEX(Task_Master!A$2:A$16,MOD(ROW()-2,15)+1)</f>
        <v>6</v>
      </c>
      <c r="C22" t="str" cm="1">
        <f t="array" ref="C22">INDEX(Task_Master!B:B,MOD(ROW(A21)-1,15)+2)</f>
        <v>Payroll</v>
      </c>
      <c r="D22" t="str" cm="1">
        <f t="array" ref="D22">INDEX(Task_Master!C:C,MOD(ROW(A21)-1,15)+2)</f>
        <v>Payroll Journal Entry</v>
      </c>
      <c r="E22" t="str" cm="1">
        <f t="array" ref="E22">INDEX(Task_Master!D:D,MOD(ROW(A21)-1,15)+2)</f>
        <v>Finance</v>
      </c>
      <c r="F22" cm="1">
        <f t="array" ref="F22">INDEX(Task_Master!E:E,MOD(ROW(A21)-1,15)+2)</f>
        <v>5</v>
      </c>
      <c r="G22">
        <v>7</v>
      </c>
      <c r="H22">
        <v>9</v>
      </c>
      <c r="I22">
        <f t="shared" si="0"/>
        <v>2</v>
      </c>
      <c r="J22" t="str">
        <f t="shared" si="1"/>
        <v>Minor Delay</v>
      </c>
      <c r="K22">
        <f t="shared" si="2"/>
        <v>7</v>
      </c>
      <c r="L22">
        <f t="shared" si="3"/>
        <v>2</v>
      </c>
    </row>
    <row r="23" spans="1:12" x14ac:dyDescent="0.35">
      <c r="A23" t="str" cm="1">
        <f t="array" ref="A23">INDEX({"Jan","Feb","Mar"},ROUNDUP(ROW(A22)/15,0))</f>
        <v>Feb</v>
      </c>
      <c r="B23" cm="1">
        <f t="array" ref="B23">INDEX(Task_Master!A$2:A$16,MOD(ROW()-2,15)+1)</f>
        <v>7</v>
      </c>
      <c r="C23" t="str" cm="1">
        <f t="array" ref="C23">INDEX(Task_Master!B:B,MOD(ROW(A22)-1,15)+2)</f>
        <v>Inventory</v>
      </c>
      <c r="D23" t="str" cm="1">
        <f t="array" ref="D23">INDEX(Task_Master!C:C,MOD(ROW(A22)-1,15)+2)</f>
        <v>Inventory Count</v>
      </c>
      <c r="E23" t="str" cm="1">
        <f t="array" ref="E23">INDEX(Task_Master!D:D,MOD(ROW(A22)-1,15)+2)</f>
        <v>Operations</v>
      </c>
      <c r="F23" t="str" cm="1">
        <f t="array" ref="F23">INDEX(Task_Master!E:E,MOD(ROW(A22)-1,15)+2)</f>
        <v>None</v>
      </c>
      <c r="G23">
        <v>8</v>
      </c>
      <c r="H23">
        <v>9</v>
      </c>
      <c r="I23">
        <f t="shared" si="0"/>
        <v>1</v>
      </c>
      <c r="J23" t="str">
        <f t="shared" si="1"/>
        <v>Minor Delay</v>
      </c>
      <c r="K23">
        <f t="shared" si="2"/>
        <v>8</v>
      </c>
      <c r="L23">
        <f t="shared" si="3"/>
        <v>1</v>
      </c>
    </row>
    <row r="24" spans="1:12" x14ac:dyDescent="0.35">
      <c r="A24" t="str" cm="1">
        <f t="array" ref="A24">INDEX({"Jan","Feb","Mar"},ROUNDUP(ROW(A23)/15,0))</f>
        <v>Feb</v>
      </c>
      <c r="B24" cm="1">
        <f t="array" ref="B24">INDEX(Task_Master!A$2:A$16,MOD(ROW()-2,15)+1)</f>
        <v>8</v>
      </c>
      <c r="C24" t="str" cm="1">
        <f t="array" ref="C24">INDEX(Task_Master!B:B,MOD(ROW(A23)-1,15)+2)</f>
        <v>Inventory</v>
      </c>
      <c r="D24" t="str" cm="1">
        <f t="array" ref="D24">INDEX(Task_Master!C:C,MOD(ROW(A23)-1,15)+2)</f>
        <v>Inventory Valuation</v>
      </c>
      <c r="E24" t="str" cm="1">
        <f t="array" ref="E24">INDEX(Task_Master!D:D,MOD(ROW(A23)-1,15)+2)</f>
        <v>Finance</v>
      </c>
      <c r="F24" cm="1">
        <f t="array" ref="F24">INDEX(Task_Master!E:E,MOD(ROW(A23)-1,15)+2)</f>
        <v>7</v>
      </c>
      <c r="G24">
        <v>9</v>
      </c>
      <c r="H24">
        <v>10</v>
      </c>
      <c r="I24">
        <f t="shared" si="0"/>
        <v>1</v>
      </c>
      <c r="J24" t="str">
        <f t="shared" si="1"/>
        <v>Minor Delay</v>
      </c>
      <c r="K24">
        <f t="shared" si="2"/>
        <v>9</v>
      </c>
      <c r="L24">
        <f t="shared" si="3"/>
        <v>1</v>
      </c>
    </row>
    <row r="25" spans="1:12" x14ac:dyDescent="0.35">
      <c r="A25" t="str" cm="1">
        <f t="array" ref="A25">INDEX({"Jan","Feb","Mar"},ROUNDUP(ROW(A24)/15,0))</f>
        <v>Feb</v>
      </c>
      <c r="B25" cm="1">
        <f t="array" ref="B25">INDEX(Task_Master!A$2:A$16,MOD(ROW()-2,15)+1)</f>
        <v>9</v>
      </c>
      <c r="C25" t="str" cm="1">
        <f t="array" ref="C25">INDEX(Task_Master!B:B,MOD(ROW(A24)-1,15)+2)</f>
        <v>Cash</v>
      </c>
      <c r="D25" t="str" cm="1">
        <f t="array" ref="D25">INDEX(Task_Master!C:C,MOD(ROW(A24)-1,15)+2)</f>
        <v>Bank Reconciliation</v>
      </c>
      <c r="E25" t="str" cm="1">
        <f t="array" ref="E25">INDEX(Task_Master!D:D,MOD(ROW(A24)-1,15)+2)</f>
        <v>Treasury</v>
      </c>
      <c r="F25" t="str" cm="1">
        <f t="array" ref="F25">INDEX(Task_Master!E:E,MOD(ROW(A24)-1,15)+2)</f>
        <v>1,3</v>
      </c>
      <c r="G25">
        <v>6</v>
      </c>
      <c r="H25">
        <v>6</v>
      </c>
      <c r="I25">
        <f t="shared" si="0"/>
        <v>0</v>
      </c>
      <c r="J25" t="str">
        <f t="shared" si="1"/>
        <v>On Time</v>
      </c>
      <c r="K25">
        <f t="shared" si="2"/>
        <v>6</v>
      </c>
      <c r="L25">
        <f t="shared" si="3"/>
        <v>0.3</v>
      </c>
    </row>
    <row r="26" spans="1:12" x14ac:dyDescent="0.35">
      <c r="A26" t="str" cm="1">
        <f t="array" ref="A26">INDEX({"Jan","Feb","Mar"},ROUNDUP(ROW(A25)/15,0))</f>
        <v>Feb</v>
      </c>
      <c r="B26" cm="1">
        <f t="array" ref="B26">INDEX(Task_Master!A$2:A$16,MOD(ROW()-2,15)+1)</f>
        <v>10</v>
      </c>
      <c r="C26" t="str" cm="1">
        <f t="array" ref="C26">INDEX(Task_Master!B:B,MOD(ROW(A25)-1,15)+2)</f>
        <v>Fixed Assets</v>
      </c>
      <c r="D26" t="str" cm="1">
        <f t="array" ref="D26">INDEX(Task_Master!C:C,MOD(ROW(A25)-1,15)+2)</f>
        <v>Depreciation Run</v>
      </c>
      <c r="E26" t="str" cm="1">
        <f t="array" ref="E26">INDEX(Task_Master!D:D,MOD(ROW(A25)-1,15)+2)</f>
        <v>Finance</v>
      </c>
      <c r="F26" t="str" cm="1">
        <f t="array" ref="F26">INDEX(Task_Master!E:E,MOD(ROW(A25)-1,15)+2)</f>
        <v>None</v>
      </c>
      <c r="G26">
        <v>7</v>
      </c>
      <c r="H26">
        <v>10</v>
      </c>
      <c r="I26">
        <f t="shared" si="0"/>
        <v>3</v>
      </c>
      <c r="J26" t="str">
        <f t="shared" si="1"/>
        <v>Major Delay</v>
      </c>
      <c r="K26">
        <f t="shared" si="2"/>
        <v>7</v>
      </c>
      <c r="L26">
        <f t="shared" si="3"/>
        <v>3</v>
      </c>
    </row>
    <row r="27" spans="1:12" x14ac:dyDescent="0.35">
      <c r="A27" t="str" cm="1">
        <f t="array" ref="A27">INDEX({"Jan","Feb","Mar"},ROUNDUP(ROW(A26)/15,0))</f>
        <v>Feb</v>
      </c>
      <c r="B27" cm="1">
        <f t="array" ref="B27">INDEX(Task_Master!A$2:A$16,MOD(ROW()-2,15)+1)</f>
        <v>11</v>
      </c>
      <c r="C27" t="str" cm="1">
        <f t="array" ref="C27">INDEX(Task_Master!B:B,MOD(ROW(A26)-1,15)+2)</f>
        <v>Accruals</v>
      </c>
      <c r="D27" t="str" cm="1">
        <f t="array" ref="D27">INDEX(Task_Master!C:C,MOD(ROW(A26)-1,15)+2)</f>
        <v>Expense Accrual Posting</v>
      </c>
      <c r="E27" t="str" cm="1">
        <f t="array" ref="E27">INDEX(Task_Master!D:D,MOD(ROW(A26)-1,15)+2)</f>
        <v>Finance</v>
      </c>
      <c r="F27" t="str" cm="1">
        <f t="array" ref="F27">INDEX(Task_Master!E:E,MOD(ROW(A26)-1,15)+2)</f>
        <v>2,4,8</v>
      </c>
      <c r="G27">
        <v>10</v>
      </c>
      <c r="H27">
        <v>13</v>
      </c>
      <c r="I27">
        <f t="shared" si="0"/>
        <v>3</v>
      </c>
      <c r="J27" t="str">
        <f t="shared" si="1"/>
        <v>Major Delay</v>
      </c>
      <c r="K27">
        <f t="shared" si="2"/>
        <v>10</v>
      </c>
      <c r="L27">
        <f t="shared" si="3"/>
        <v>3</v>
      </c>
    </row>
    <row r="28" spans="1:12" x14ac:dyDescent="0.35">
      <c r="A28" t="str" cm="1">
        <f t="array" ref="A28">INDEX({"Jan","Feb","Mar"},ROUNDUP(ROW(A27)/15,0))</f>
        <v>Feb</v>
      </c>
      <c r="B28" cm="1">
        <f t="array" ref="B28">INDEX(Task_Master!A$2:A$16,MOD(ROW()-2,15)+1)</f>
        <v>12</v>
      </c>
      <c r="C28" t="str" cm="1">
        <f t="array" ref="C28">INDEX(Task_Master!B:B,MOD(ROW(A27)-1,15)+2)</f>
        <v>Reporting</v>
      </c>
      <c r="D28" t="str" cm="1">
        <f t="array" ref="D28">INDEX(Task_Master!C:C,MOD(ROW(A27)-1,15)+2)</f>
        <v>Trial Balance Review</v>
      </c>
      <c r="E28" t="str" cm="1">
        <f t="array" ref="E28">INDEX(Task_Master!D:D,MOD(ROW(A27)-1,15)+2)</f>
        <v>Finance</v>
      </c>
      <c r="F28" t="str" cm="1">
        <f t="array" ref="F28">INDEX(Task_Master!E:E,MOD(ROW(A27)-1,15)+2)</f>
        <v>6,9,10,11</v>
      </c>
      <c r="G28">
        <v>12</v>
      </c>
      <c r="H28">
        <v>13</v>
      </c>
      <c r="I28">
        <f t="shared" si="0"/>
        <v>1</v>
      </c>
      <c r="J28" t="str">
        <f t="shared" si="1"/>
        <v>Minor Delay</v>
      </c>
      <c r="K28">
        <f t="shared" si="2"/>
        <v>12</v>
      </c>
      <c r="L28">
        <f t="shared" si="3"/>
        <v>1</v>
      </c>
    </row>
    <row r="29" spans="1:12" x14ac:dyDescent="0.35">
      <c r="A29" t="str" cm="1">
        <f t="array" ref="A29">INDEX({"Jan","Feb","Mar"},ROUNDUP(ROW(A28)/15,0))</f>
        <v>Feb</v>
      </c>
      <c r="B29" cm="1">
        <f t="array" ref="B29">INDEX(Task_Master!A$2:A$16,MOD(ROW()-2,15)+1)</f>
        <v>13</v>
      </c>
      <c r="C29" t="str" cm="1">
        <f t="array" ref="C29">INDEX(Task_Master!B:B,MOD(ROW(A28)-1,15)+2)</f>
        <v>Reporting</v>
      </c>
      <c r="D29" t="str" cm="1">
        <f t="array" ref="D29">INDEX(Task_Master!C:C,MOD(ROW(A28)-1,15)+2)</f>
        <v>Financial Statement Prep</v>
      </c>
      <c r="E29" t="str" cm="1">
        <f t="array" ref="E29">INDEX(Task_Master!D:D,MOD(ROW(A28)-1,15)+2)</f>
        <v>Finance</v>
      </c>
      <c r="F29" cm="1">
        <f t="array" ref="F29">INDEX(Task_Master!E:E,MOD(ROW(A28)-1,15)+2)</f>
        <v>12</v>
      </c>
      <c r="G29">
        <v>13</v>
      </c>
      <c r="H29">
        <v>14</v>
      </c>
      <c r="I29">
        <f t="shared" si="0"/>
        <v>1</v>
      </c>
      <c r="J29" t="str">
        <f t="shared" si="1"/>
        <v>Minor Delay</v>
      </c>
      <c r="K29">
        <f t="shared" si="2"/>
        <v>13</v>
      </c>
      <c r="L29">
        <f t="shared" si="3"/>
        <v>1</v>
      </c>
    </row>
    <row r="30" spans="1:12" x14ac:dyDescent="0.35">
      <c r="A30" t="str" cm="1">
        <f t="array" ref="A30">INDEX({"Jan","Feb","Mar"},ROUNDUP(ROW(A29)/15,0))</f>
        <v>Feb</v>
      </c>
      <c r="B30" cm="1">
        <f t="array" ref="B30">INDEX(Task_Master!A$2:A$16,MOD(ROW()-2,15)+1)</f>
        <v>14</v>
      </c>
      <c r="C30" t="str" cm="1">
        <f t="array" ref="C30">INDEX(Task_Master!B:B,MOD(ROW(A29)-1,15)+2)</f>
        <v>Reporting</v>
      </c>
      <c r="D30" t="str" cm="1">
        <f t="array" ref="D30">INDEX(Task_Master!C:C,MOD(ROW(A29)-1,15)+2)</f>
        <v>Management Review</v>
      </c>
      <c r="E30" t="str" cm="1">
        <f t="array" ref="E30">INDEX(Task_Master!D:D,MOD(ROW(A29)-1,15)+2)</f>
        <v>CFO Office</v>
      </c>
      <c r="F30" cm="1">
        <f t="array" ref="F30">INDEX(Task_Master!E:E,MOD(ROW(A29)-1,15)+2)</f>
        <v>13</v>
      </c>
      <c r="G30">
        <v>14</v>
      </c>
      <c r="H30">
        <v>15</v>
      </c>
      <c r="I30">
        <f t="shared" si="0"/>
        <v>1</v>
      </c>
      <c r="J30" t="str">
        <f t="shared" si="1"/>
        <v>Minor Delay</v>
      </c>
      <c r="K30">
        <f t="shared" si="2"/>
        <v>14</v>
      </c>
      <c r="L30">
        <f t="shared" si="3"/>
        <v>1</v>
      </c>
    </row>
    <row r="31" spans="1:12" x14ac:dyDescent="0.35">
      <c r="A31" t="str" cm="1">
        <f t="array" ref="A31">INDEX({"Jan","Feb","Mar"},ROUNDUP(ROW(A30)/15,0))</f>
        <v>Feb</v>
      </c>
      <c r="B31" cm="1">
        <f t="array" ref="B31">INDEX(Task_Master!A$2:A$16,MOD(ROW()-2,15)+1)</f>
        <v>15</v>
      </c>
      <c r="C31" t="str" cm="1">
        <f t="array" ref="C31">INDEX(Task_Master!B:B,MOD(ROW(A30)-1,15)+2)</f>
        <v>Reporting</v>
      </c>
      <c r="D31" t="str" cm="1">
        <f t="array" ref="D31">INDEX(Task_Master!C:C,MOD(ROW(A30)-1,15)+2)</f>
        <v>Books Closed</v>
      </c>
      <c r="E31" t="str" cm="1">
        <f t="array" ref="E31">INDEX(Task_Master!D:D,MOD(ROW(A30)-1,15)+2)</f>
        <v>Finance</v>
      </c>
      <c r="F31" cm="1">
        <f t="array" ref="F31">INDEX(Task_Master!E:E,MOD(ROW(A30)-1,15)+2)</f>
        <v>14</v>
      </c>
      <c r="G31">
        <v>15</v>
      </c>
      <c r="H31">
        <v>16</v>
      </c>
      <c r="I31">
        <f t="shared" si="0"/>
        <v>1</v>
      </c>
      <c r="J31" t="str">
        <f t="shared" si="1"/>
        <v>Minor Delay</v>
      </c>
      <c r="K31">
        <f t="shared" si="2"/>
        <v>15</v>
      </c>
      <c r="L31">
        <f t="shared" si="3"/>
        <v>1</v>
      </c>
    </row>
    <row r="32" spans="1:12" x14ac:dyDescent="0.35">
      <c r="A32" t="str" cm="1">
        <f t="array" ref="A32">INDEX({"Jan","Feb","Mar"},ROUNDUP(ROW(A31)/15,0))</f>
        <v>Mar</v>
      </c>
      <c r="B32" cm="1">
        <f t="array" ref="B32">INDEX(Task_Master!A$2:A$16,MOD(ROW()-2,15)+1)</f>
        <v>1</v>
      </c>
      <c r="C32" t="str" cm="1">
        <f t="array" ref="C32">INDEX(Task_Master!B:B,MOD(ROW(A31)-1,15)+2)</f>
        <v>AP</v>
      </c>
      <c r="D32" t="str" cm="1">
        <f t="array" ref="D32">INDEX(Task_Master!C:C,MOD(ROW(A31)-1,15)+2)</f>
        <v>Vendor Invoice Posting</v>
      </c>
      <c r="E32" t="str" cm="1">
        <f t="array" ref="E32">INDEX(Task_Master!D:D,MOD(ROW(A31)-1,15)+2)</f>
        <v>Accounts Payable</v>
      </c>
      <c r="F32" t="str" cm="1">
        <f t="array" ref="F32">INDEX(Task_Master!E:E,MOD(ROW(A31)-1,15)+2)</f>
        <v>None</v>
      </c>
      <c r="G32">
        <v>1</v>
      </c>
      <c r="H32">
        <v>4</v>
      </c>
      <c r="I32">
        <f t="shared" si="0"/>
        <v>3</v>
      </c>
      <c r="J32" t="str">
        <f t="shared" si="1"/>
        <v>Major Delay</v>
      </c>
      <c r="K32">
        <f t="shared" si="2"/>
        <v>1</v>
      </c>
      <c r="L32">
        <f t="shared" si="3"/>
        <v>3</v>
      </c>
    </row>
    <row r="33" spans="1:12" ht="14" customHeight="1" x14ac:dyDescent="0.35">
      <c r="A33" t="str" cm="1">
        <f t="array" ref="A33">INDEX({"Jan","Feb","Mar"},ROUNDUP(ROW(A32)/15,0))</f>
        <v>Mar</v>
      </c>
      <c r="B33" cm="1">
        <f t="array" ref="B33">INDEX(Task_Master!A$2:A$16,MOD(ROW()-2,15)+1)</f>
        <v>2</v>
      </c>
      <c r="C33" t="str" cm="1">
        <f t="array" ref="C33">INDEX(Task_Master!B:B,MOD(ROW(A32)-1,15)+2)</f>
        <v>AP</v>
      </c>
      <c r="D33" t="str" cm="1">
        <f t="array" ref="D33">INDEX(Task_Master!C:C,MOD(ROW(A32)-1,15)+2)</f>
        <v>AP Reconciliation</v>
      </c>
      <c r="E33" t="str" cm="1">
        <f t="array" ref="E33">INDEX(Task_Master!D:D,MOD(ROW(A32)-1,15)+2)</f>
        <v>Accounts Payable</v>
      </c>
      <c r="F33" cm="1">
        <f t="array" ref="F33">INDEX(Task_Master!E:E,MOD(ROW(A32)-1,15)+2)</f>
        <v>1</v>
      </c>
      <c r="G33">
        <v>2</v>
      </c>
      <c r="H33">
        <v>5</v>
      </c>
      <c r="I33">
        <f t="shared" si="0"/>
        <v>3</v>
      </c>
      <c r="J33" t="str">
        <f t="shared" si="1"/>
        <v>Major Delay</v>
      </c>
      <c r="K33">
        <f t="shared" si="2"/>
        <v>2</v>
      </c>
      <c r="L33">
        <f t="shared" si="3"/>
        <v>3</v>
      </c>
    </row>
    <row r="34" spans="1:12" x14ac:dyDescent="0.35">
      <c r="A34" t="str" cm="1">
        <f t="array" ref="A34">INDEX({"Jan","Feb","Mar"},ROUNDUP(ROW(A33)/15,0))</f>
        <v>Mar</v>
      </c>
      <c r="B34" cm="1">
        <f t="array" ref="B34">INDEX(Task_Master!A$2:A$16,MOD(ROW()-2,15)+1)</f>
        <v>3</v>
      </c>
      <c r="C34" t="str" cm="1">
        <f t="array" ref="C34">INDEX(Task_Master!B:B,MOD(ROW(A33)-1,15)+2)</f>
        <v>AR</v>
      </c>
      <c r="D34" t="str" cm="1">
        <f t="array" ref="D34">INDEX(Task_Master!C:C,MOD(ROW(A33)-1,15)+2)</f>
        <v>Customer Invoice Posting</v>
      </c>
      <c r="E34" t="str" cm="1">
        <f t="array" ref="E34">INDEX(Task_Master!D:D,MOD(ROW(A33)-1,15)+2)</f>
        <v>Accounts Receivable</v>
      </c>
      <c r="F34" t="str" cm="1">
        <f t="array" ref="F34">INDEX(Task_Master!E:E,MOD(ROW(A33)-1,15)+2)</f>
        <v>None</v>
      </c>
      <c r="G34">
        <v>2</v>
      </c>
      <c r="H34">
        <v>2</v>
      </c>
      <c r="I34">
        <f t="shared" si="0"/>
        <v>0</v>
      </c>
      <c r="J34" t="str">
        <f t="shared" si="1"/>
        <v>On Time</v>
      </c>
      <c r="K34">
        <f t="shared" si="2"/>
        <v>2</v>
      </c>
      <c r="L34">
        <f t="shared" si="3"/>
        <v>0.3</v>
      </c>
    </row>
    <row r="35" spans="1:12" x14ac:dyDescent="0.35">
      <c r="A35" t="str" cm="1">
        <f t="array" ref="A35">INDEX({"Jan","Feb","Mar"},ROUNDUP(ROW(A34)/15,0))</f>
        <v>Mar</v>
      </c>
      <c r="B35" cm="1">
        <f t="array" ref="B35">INDEX(Task_Master!A$2:A$16,MOD(ROW()-2,15)+1)</f>
        <v>4</v>
      </c>
      <c r="C35" t="str" cm="1">
        <f t="array" ref="C35">INDEX(Task_Master!B:B,MOD(ROW(A34)-1,15)+2)</f>
        <v>AR</v>
      </c>
      <c r="D35" t="str" cm="1">
        <f t="array" ref="D35">INDEX(Task_Master!C:C,MOD(ROW(A34)-1,15)+2)</f>
        <v>AR Reconciliation</v>
      </c>
      <c r="E35" t="str" cm="1">
        <f t="array" ref="E35">INDEX(Task_Master!D:D,MOD(ROW(A34)-1,15)+2)</f>
        <v>Accounts Receivable</v>
      </c>
      <c r="F35" cm="1">
        <f t="array" ref="F35">INDEX(Task_Master!E:E,MOD(ROW(A34)-1,15)+2)</f>
        <v>3</v>
      </c>
      <c r="G35">
        <v>3</v>
      </c>
      <c r="H35">
        <v>3</v>
      </c>
      <c r="I35">
        <f t="shared" si="0"/>
        <v>0</v>
      </c>
      <c r="J35" t="str">
        <f t="shared" si="1"/>
        <v>On Time</v>
      </c>
      <c r="K35">
        <f t="shared" si="2"/>
        <v>3</v>
      </c>
      <c r="L35">
        <f t="shared" si="3"/>
        <v>0.3</v>
      </c>
    </row>
    <row r="36" spans="1:12" x14ac:dyDescent="0.35">
      <c r="A36" t="str" cm="1">
        <f t="array" ref="A36">INDEX({"Jan","Feb","Mar"},ROUNDUP(ROW(A35)/15,0))</f>
        <v>Mar</v>
      </c>
      <c r="B36" cm="1">
        <f t="array" ref="B36">INDEX(Task_Master!A$2:A$16,MOD(ROW()-2,15)+1)</f>
        <v>5</v>
      </c>
      <c r="C36" t="str" cm="1">
        <f t="array" ref="C36">INDEX(Task_Master!B:B,MOD(ROW(A35)-1,15)+2)</f>
        <v>Payroll</v>
      </c>
      <c r="D36" t="str" cm="1">
        <f t="array" ref="D36">INDEX(Task_Master!C:C,MOD(ROW(A35)-1,15)+2)</f>
        <v>Salary Processing</v>
      </c>
      <c r="E36" t="str" cm="1">
        <f t="array" ref="E36">INDEX(Task_Master!D:D,MOD(ROW(A35)-1,15)+2)</f>
        <v>HR/Payroll</v>
      </c>
      <c r="F36" t="str" cm="1">
        <f t="array" ref="F36">INDEX(Task_Master!E:E,MOD(ROW(A35)-1,15)+2)</f>
        <v>None</v>
      </c>
      <c r="G36">
        <v>4</v>
      </c>
      <c r="H36">
        <v>5</v>
      </c>
      <c r="I36">
        <f t="shared" si="0"/>
        <v>1</v>
      </c>
      <c r="J36" t="str">
        <f t="shared" si="1"/>
        <v>Minor Delay</v>
      </c>
      <c r="K36">
        <f t="shared" si="2"/>
        <v>4</v>
      </c>
      <c r="L36">
        <f t="shared" si="3"/>
        <v>1</v>
      </c>
    </row>
    <row r="37" spans="1:12" x14ac:dyDescent="0.35">
      <c r="A37" t="str" cm="1">
        <f t="array" ref="A37">INDEX({"Jan","Feb","Mar"},ROUNDUP(ROW(A36)/15,0))</f>
        <v>Mar</v>
      </c>
      <c r="B37" cm="1">
        <f t="array" ref="B37">INDEX(Task_Master!A$2:A$16,MOD(ROW()-2,15)+1)</f>
        <v>6</v>
      </c>
      <c r="C37" t="str" cm="1">
        <f t="array" ref="C37">INDEX(Task_Master!B:B,MOD(ROW(A36)-1,15)+2)</f>
        <v>Payroll</v>
      </c>
      <c r="D37" t="str" cm="1">
        <f t="array" ref="D37">INDEX(Task_Master!C:C,MOD(ROW(A36)-1,15)+2)</f>
        <v>Payroll Journal Entry</v>
      </c>
      <c r="E37" t="str" cm="1">
        <f t="array" ref="E37">INDEX(Task_Master!D:D,MOD(ROW(A36)-1,15)+2)</f>
        <v>Finance</v>
      </c>
      <c r="F37" cm="1">
        <f t="array" ref="F37">INDEX(Task_Master!E:E,MOD(ROW(A36)-1,15)+2)</f>
        <v>5</v>
      </c>
      <c r="G37">
        <v>5</v>
      </c>
      <c r="H37">
        <v>6</v>
      </c>
      <c r="I37">
        <f t="shared" si="0"/>
        <v>1</v>
      </c>
      <c r="J37" t="str">
        <f t="shared" si="1"/>
        <v>Minor Delay</v>
      </c>
      <c r="K37">
        <f t="shared" si="2"/>
        <v>5</v>
      </c>
      <c r="L37">
        <f t="shared" si="3"/>
        <v>1</v>
      </c>
    </row>
    <row r="38" spans="1:12" x14ac:dyDescent="0.35">
      <c r="A38" t="str" cm="1">
        <f t="array" ref="A38">INDEX({"Jan","Feb","Mar"},ROUNDUP(ROW(A37)/15,0))</f>
        <v>Mar</v>
      </c>
      <c r="B38" cm="1">
        <f t="array" ref="B38">INDEX(Task_Master!A$2:A$16,MOD(ROW()-2,15)+1)</f>
        <v>7</v>
      </c>
      <c r="C38" t="str" cm="1">
        <f t="array" ref="C38">INDEX(Task_Master!B:B,MOD(ROW(A37)-1,15)+2)</f>
        <v>Inventory</v>
      </c>
      <c r="D38" t="str" cm="1">
        <f t="array" ref="D38">INDEX(Task_Master!C:C,MOD(ROW(A37)-1,15)+2)</f>
        <v>Inventory Count</v>
      </c>
      <c r="E38" t="str" cm="1">
        <f t="array" ref="E38">INDEX(Task_Master!D:D,MOD(ROW(A37)-1,15)+2)</f>
        <v>Operations</v>
      </c>
      <c r="F38" t="str" cm="1">
        <f t="array" ref="F38">INDEX(Task_Master!E:E,MOD(ROW(A37)-1,15)+2)</f>
        <v>None</v>
      </c>
      <c r="G38">
        <v>5</v>
      </c>
      <c r="H38">
        <v>5</v>
      </c>
      <c r="I38">
        <f t="shared" si="0"/>
        <v>0</v>
      </c>
      <c r="J38" t="str">
        <f t="shared" si="1"/>
        <v>On Time</v>
      </c>
      <c r="K38">
        <f t="shared" si="2"/>
        <v>5</v>
      </c>
      <c r="L38">
        <f t="shared" si="3"/>
        <v>0.3</v>
      </c>
    </row>
    <row r="39" spans="1:12" x14ac:dyDescent="0.35">
      <c r="A39" t="str" cm="1">
        <f t="array" ref="A39">INDEX({"Jan","Feb","Mar"},ROUNDUP(ROW(A38)/15,0))</f>
        <v>Mar</v>
      </c>
      <c r="B39" cm="1">
        <f t="array" ref="B39">INDEX(Task_Master!A$2:A$16,MOD(ROW()-2,15)+1)</f>
        <v>8</v>
      </c>
      <c r="C39" t="str" cm="1">
        <f t="array" ref="C39">INDEX(Task_Master!B:B,MOD(ROW(A38)-1,15)+2)</f>
        <v>Inventory</v>
      </c>
      <c r="D39" t="str" cm="1">
        <f t="array" ref="D39">INDEX(Task_Master!C:C,MOD(ROW(A38)-1,15)+2)</f>
        <v>Inventory Valuation</v>
      </c>
      <c r="E39" t="str" cm="1">
        <f t="array" ref="E39">INDEX(Task_Master!D:D,MOD(ROW(A38)-1,15)+2)</f>
        <v>Finance</v>
      </c>
      <c r="F39" cm="1">
        <f t="array" ref="F39">INDEX(Task_Master!E:E,MOD(ROW(A38)-1,15)+2)</f>
        <v>7</v>
      </c>
      <c r="G39">
        <v>6</v>
      </c>
      <c r="H39">
        <v>9</v>
      </c>
      <c r="I39">
        <f t="shared" si="0"/>
        <v>3</v>
      </c>
      <c r="J39" t="str">
        <f t="shared" si="1"/>
        <v>Major Delay</v>
      </c>
      <c r="K39">
        <f t="shared" si="2"/>
        <v>6</v>
      </c>
      <c r="L39">
        <f t="shared" si="3"/>
        <v>3</v>
      </c>
    </row>
    <row r="40" spans="1:12" x14ac:dyDescent="0.35">
      <c r="A40" t="str" cm="1">
        <f t="array" ref="A40">INDEX({"Jan","Feb","Mar"},ROUNDUP(ROW(A39)/15,0))</f>
        <v>Mar</v>
      </c>
      <c r="B40" cm="1">
        <f t="array" ref="B40">INDEX(Task_Master!A$2:A$16,MOD(ROW()-2,15)+1)</f>
        <v>9</v>
      </c>
      <c r="C40" t="str" cm="1">
        <f t="array" ref="C40">INDEX(Task_Master!B:B,MOD(ROW(A39)-1,15)+2)</f>
        <v>Cash</v>
      </c>
      <c r="D40" t="str" cm="1">
        <f t="array" ref="D40">INDEX(Task_Master!C:C,MOD(ROW(A39)-1,15)+2)</f>
        <v>Bank Reconciliation</v>
      </c>
      <c r="E40" t="str" cm="1">
        <f t="array" ref="E40">INDEX(Task_Master!D:D,MOD(ROW(A39)-1,15)+2)</f>
        <v>Treasury</v>
      </c>
      <c r="F40" t="str" cm="1">
        <f t="array" ref="F40">INDEX(Task_Master!E:E,MOD(ROW(A39)-1,15)+2)</f>
        <v>1,3</v>
      </c>
      <c r="G40">
        <v>3</v>
      </c>
      <c r="H40">
        <v>6</v>
      </c>
      <c r="I40">
        <f t="shared" si="0"/>
        <v>3</v>
      </c>
      <c r="J40" t="str">
        <f t="shared" si="1"/>
        <v>Major Delay</v>
      </c>
      <c r="K40">
        <f t="shared" si="2"/>
        <v>3</v>
      </c>
      <c r="L40">
        <f t="shared" si="3"/>
        <v>3</v>
      </c>
    </row>
    <row r="41" spans="1:12" x14ac:dyDescent="0.35">
      <c r="A41" t="str" cm="1">
        <f t="array" ref="A41">INDEX({"Jan","Feb","Mar"},ROUNDUP(ROW(A40)/15,0))</f>
        <v>Mar</v>
      </c>
      <c r="B41" cm="1">
        <f t="array" ref="B41">INDEX(Task_Master!A$2:A$16,MOD(ROW()-2,15)+1)</f>
        <v>10</v>
      </c>
      <c r="C41" t="str" cm="1">
        <f t="array" ref="C41">INDEX(Task_Master!B:B,MOD(ROW(A40)-1,15)+2)</f>
        <v>Fixed Assets</v>
      </c>
      <c r="D41" t="str" cm="1">
        <f t="array" ref="D41">INDEX(Task_Master!C:C,MOD(ROW(A40)-1,15)+2)</f>
        <v>Depreciation Run</v>
      </c>
      <c r="E41" t="str" cm="1">
        <f t="array" ref="E41">INDEX(Task_Master!D:D,MOD(ROW(A40)-1,15)+2)</f>
        <v>Finance</v>
      </c>
      <c r="F41" t="str" cm="1">
        <f t="array" ref="F41">INDEX(Task_Master!E:E,MOD(ROW(A40)-1,15)+2)</f>
        <v>None</v>
      </c>
      <c r="G41">
        <v>7</v>
      </c>
      <c r="H41">
        <v>7</v>
      </c>
      <c r="I41">
        <f t="shared" si="0"/>
        <v>0</v>
      </c>
      <c r="J41" t="str">
        <f t="shared" si="1"/>
        <v>On Time</v>
      </c>
      <c r="K41">
        <f t="shared" si="2"/>
        <v>7</v>
      </c>
      <c r="L41">
        <f t="shared" si="3"/>
        <v>0.3</v>
      </c>
    </row>
    <row r="42" spans="1:12" x14ac:dyDescent="0.35">
      <c r="A42" t="str" cm="1">
        <f t="array" ref="A42">INDEX({"Jan","Feb","Mar"},ROUNDUP(ROW(A41)/15,0))</f>
        <v>Mar</v>
      </c>
      <c r="B42" cm="1">
        <f t="array" ref="B42">INDEX(Task_Master!A$2:A$16,MOD(ROW()-2,15)+1)</f>
        <v>11</v>
      </c>
      <c r="C42" t="str" cm="1">
        <f t="array" ref="C42">INDEX(Task_Master!B:B,MOD(ROW(A41)-1,15)+2)</f>
        <v>Accruals</v>
      </c>
      <c r="D42" t="str" cm="1">
        <f t="array" ref="D42">INDEX(Task_Master!C:C,MOD(ROW(A41)-1,15)+2)</f>
        <v>Expense Accrual Posting</v>
      </c>
      <c r="E42" t="str" cm="1">
        <f t="array" ref="E42">INDEX(Task_Master!D:D,MOD(ROW(A41)-1,15)+2)</f>
        <v>Finance</v>
      </c>
      <c r="F42" t="str" cm="1">
        <f t="array" ref="F42">INDEX(Task_Master!E:E,MOD(ROW(A41)-1,15)+2)</f>
        <v>2,4,8</v>
      </c>
      <c r="G42">
        <v>8</v>
      </c>
      <c r="H42">
        <v>10</v>
      </c>
      <c r="I42">
        <f t="shared" si="0"/>
        <v>2</v>
      </c>
      <c r="J42" t="str">
        <f t="shared" si="1"/>
        <v>Minor Delay</v>
      </c>
      <c r="K42">
        <f t="shared" si="2"/>
        <v>8</v>
      </c>
      <c r="L42">
        <f t="shared" si="3"/>
        <v>2</v>
      </c>
    </row>
    <row r="43" spans="1:12" x14ac:dyDescent="0.35">
      <c r="A43" t="str" cm="1">
        <f t="array" ref="A43">INDEX({"Jan","Feb","Mar"},ROUNDUP(ROW(A42)/15,0))</f>
        <v>Mar</v>
      </c>
      <c r="B43" cm="1">
        <f t="array" ref="B43">INDEX(Task_Master!A$2:A$16,MOD(ROW()-2,15)+1)</f>
        <v>12</v>
      </c>
      <c r="C43" t="str" cm="1">
        <f t="array" ref="C43">INDEX(Task_Master!B:B,MOD(ROW(A42)-1,15)+2)</f>
        <v>Reporting</v>
      </c>
      <c r="D43" t="str" cm="1">
        <f t="array" ref="D43">INDEX(Task_Master!C:C,MOD(ROW(A42)-1,15)+2)</f>
        <v>Trial Balance Review</v>
      </c>
      <c r="E43" t="str" cm="1">
        <f t="array" ref="E43">INDEX(Task_Master!D:D,MOD(ROW(A42)-1,15)+2)</f>
        <v>Finance</v>
      </c>
      <c r="F43" t="str" cm="1">
        <f t="array" ref="F43">INDEX(Task_Master!E:E,MOD(ROW(A42)-1,15)+2)</f>
        <v>6,9,10,11</v>
      </c>
      <c r="G43">
        <v>9</v>
      </c>
      <c r="H43">
        <v>11</v>
      </c>
      <c r="I43">
        <f t="shared" si="0"/>
        <v>2</v>
      </c>
      <c r="J43" t="str">
        <f t="shared" si="1"/>
        <v>Minor Delay</v>
      </c>
      <c r="K43">
        <f t="shared" si="2"/>
        <v>9</v>
      </c>
      <c r="L43">
        <f t="shared" si="3"/>
        <v>2</v>
      </c>
    </row>
    <row r="44" spans="1:12" x14ac:dyDescent="0.35">
      <c r="A44" t="str" cm="1">
        <f t="array" ref="A44">INDEX({"Jan","Feb","Mar"},ROUNDUP(ROW(A43)/15,0))</f>
        <v>Mar</v>
      </c>
      <c r="B44" cm="1">
        <f t="array" ref="B44">INDEX(Task_Master!A$2:A$16,MOD(ROW()-2,15)+1)</f>
        <v>13</v>
      </c>
      <c r="C44" t="str" cm="1">
        <f t="array" ref="C44">INDEX(Task_Master!B:B,MOD(ROW(A43)-1,15)+2)</f>
        <v>Reporting</v>
      </c>
      <c r="D44" t="str" cm="1">
        <f t="array" ref="D44">INDEX(Task_Master!C:C,MOD(ROW(A43)-1,15)+2)</f>
        <v>Financial Statement Prep</v>
      </c>
      <c r="E44" t="str" cm="1">
        <f t="array" ref="E44">INDEX(Task_Master!D:D,MOD(ROW(A43)-1,15)+2)</f>
        <v>Finance</v>
      </c>
      <c r="F44" cm="1">
        <f t="array" ref="F44">INDEX(Task_Master!E:E,MOD(ROW(A43)-1,15)+2)</f>
        <v>12</v>
      </c>
      <c r="G44">
        <v>10</v>
      </c>
      <c r="H44">
        <v>13</v>
      </c>
      <c r="I44">
        <f t="shared" si="0"/>
        <v>3</v>
      </c>
      <c r="J44" t="str">
        <f t="shared" si="1"/>
        <v>Major Delay</v>
      </c>
      <c r="K44">
        <f t="shared" si="2"/>
        <v>10</v>
      </c>
      <c r="L44">
        <f t="shared" si="3"/>
        <v>3</v>
      </c>
    </row>
    <row r="45" spans="1:12" x14ac:dyDescent="0.35">
      <c r="A45" t="str" cm="1">
        <f t="array" ref="A45">INDEX({"Jan","Feb","Mar"},ROUNDUP(ROW(A44)/15,0))</f>
        <v>Mar</v>
      </c>
      <c r="B45" cm="1">
        <f t="array" ref="B45">INDEX(Task_Master!A$2:A$16,MOD(ROW()-2,15)+1)</f>
        <v>14</v>
      </c>
      <c r="C45" t="str" cm="1">
        <f t="array" ref="C45">INDEX(Task_Master!B:B,MOD(ROW(A44)-1,15)+2)</f>
        <v>Reporting</v>
      </c>
      <c r="D45" t="str" cm="1">
        <f t="array" ref="D45">INDEX(Task_Master!C:C,MOD(ROW(A44)-1,15)+2)</f>
        <v>Management Review</v>
      </c>
      <c r="E45" t="str" cm="1">
        <f t="array" ref="E45">INDEX(Task_Master!D:D,MOD(ROW(A44)-1,15)+2)</f>
        <v>CFO Office</v>
      </c>
      <c r="F45" cm="1">
        <f t="array" ref="F45">INDEX(Task_Master!E:E,MOD(ROW(A44)-1,15)+2)</f>
        <v>13</v>
      </c>
      <c r="G45">
        <v>11</v>
      </c>
      <c r="H45">
        <v>13</v>
      </c>
      <c r="I45">
        <f t="shared" si="0"/>
        <v>2</v>
      </c>
      <c r="J45" t="str">
        <f t="shared" si="1"/>
        <v>Minor Delay</v>
      </c>
      <c r="K45">
        <f t="shared" si="2"/>
        <v>11</v>
      </c>
      <c r="L45">
        <f t="shared" si="3"/>
        <v>2</v>
      </c>
    </row>
    <row r="46" spans="1:12" x14ac:dyDescent="0.35">
      <c r="A46" t="str" cm="1">
        <f t="array" ref="A46">INDEX({"Jan","Feb","Mar"},ROUNDUP(ROW(A45)/15,0))</f>
        <v>Mar</v>
      </c>
      <c r="B46" cm="1">
        <f t="array" ref="B46">INDEX(Task_Master!A$2:A$16,MOD(ROW()-2,15)+1)</f>
        <v>15</v>
      </c>
      <c r="C46" t="str" cm="1">
        <f t="array" ref="C46">INDEX(Task_Master!B:B,MOD(ROW(A45)-1,15)+2)</f>
        <v>Reporting</v>
      </c>
      <c r="D46" t="str" cm="1">
        <f t="array" ref="D46">INDEX(Task_Master!C:C,MOD(ROW(A45)-1,15)+2)</f>
        <v>Books Closed</v>
      </c>
      <c r="E46" t="str" cm="1">
        <f t="array" ref="E46">INDEX(Task_Master!D:D,MOD(ROW(A45)-1,15)+2)</f>
        <v>Finance</v>
      </c>
      <c r="F46" cm="1">
        <f t="array" ref="F46">INDEX(Task_Master!E:E,MOD(ROW(A45)-1,15)+2)</f>
        <v>14</v>
      </c>
      <c r="G46">
        <v>12</v>
      </c>
      <c r="H46">
        <v>15</v>
      </c>
      <c r="I46">
        <f t="shared" si="0"/>
        <v>3</v>
      </c>
      <c r="J46" t="str">
        <f t="shared" si="1"/>
        <v>Major Delay</v>
      </c>
      <c r="K46">
        <f t="shared" si="2"/>
        <v>12</v>
      </c>
      <c r="L46">
        <f t="shared" si="3"/>
        <v>3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8C36CA5-885B-41BB-A48F-8B06D43B60E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Close_Data!O6:O6</xm:f>
              <xm:sqref>O11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2C14-28F3-45E6-8EBB-32037773B34D}">
  <dimension ref="B1:D16"/>
  <sheetViews>
    <sheetView tabSelected="1" workbookViewId="0">
      <selection activeCell="L19" sqref="L19"/>
    </sheetView>
  </sheetViews>
  <sheetFormatPr defaultRowHeight="14.5" x14ac:dyDescent="0.35"/>
  <cols>
    <col min="2" max="2" width="21.90625" customWidth="1"/>
    <col min="3" max="3" width="10.1796875" customWidth="1"/>
    <col min="4" max="4" width="10.6328125" customWidth="1"/>
  </cols>
  <sheetData>
    <row r="1" spans="2:4" x14ac:dyDescent="0.35">
      <c r="B1" s="1" t="s">
        <v>2</v>
      </c>
      <c r="C1" s="3" t="s">
        <v>56</v>
      </c>
      <c r="D1" s="3" t="s">
        <v>57</v>
      </c>
    </row>
    <row r="2" spans="2:4" x14ac:dyDescent="0.35">
      <c r="B2" s="2" t="s">
        <v>7</v>
      </c>
      <c r="C2">
        <v>2</v>
      </c>
      <c r="D2">
        <v>0.3</v>
      </c>
    </row>
    <row r="3" spans="2:4" x14ac:dyDescent="0.35">
      <c r="B3" s="2" t="s">
        <v>10</v>
      </c>
      <c r="C3">
        <v>4</v>
      </c>
      <c r="D3">
        <v>1</v>
      </c>
    </row>
    <row r="4" spans="2:4" ht="14.5" customHeight="1" x14ac:dyDescent="0.35">
      <c r="B4" s="2" t="s">
        <v>12</v>
      </c>
      <c r="C4">
        <v>3</v>
      </c>
      <c r="D4">
        <v>0.3</v>
      </c>
    </row>
    <row r="5" spans="2:4" x14ac:dyDescent="0.35">
      <c r="B5" s="2" t="s">
        <v>14</v>
      </c>
      <c r="C5">
        <v>5</v>
      </c>
      <c r="D5">
        <v>0.3</v>
      </c>
    </row>
    <row r="6" spans="2:4" x14ac:dyDescent="0.35">
      <c r="B6" s="2" t="s">
        <v>16</v>
      </c>
      <c r="C6">
        <v>4</v>
      </c>
      <c r="D6">
        <v>2</v>
      </c>
    </row>
    <row r="7" spans="2:4" x14ac:dyDescent="0.35">
      <c r="B7" s="2" t="s">
        <v>18</v>
      </c>
      <c r="C7">
        <v>6</v>
      </c>
      <c r="D7">
        <v>1</v>
      </c>
    </row>
    <row r="8" spans="2:4" x14ac:dyDescent="0.35">
      <c r="B8" s="2" t="s">
        <v>21</v>
      </c>
      <c r="C8">
        <v>2</v>
      </c>
      <c r="D8">
        <v>3</v>
      </c>
    </row>
    <row r="9" spans="2:4" x14ac:dyDescent="0.35">
      <c r="B9" s="2" t="s">
        <v>23</v>
      </c>
      <c r="C9">
        <v>3</v>
      </c>
      <c r="D9">
        <v>2</v>
      </c>
    </row>
    <row r="10" spans="2:4" x14ac:dyDescent="0.35">
      <c r="B10" s="2" t="s">
        <v>25</v>
      </c>
      <c r="C10">
        <v>5</v>
      </c>
      <c r="D10">
        <v>2</v>
      </c>
    </row>
    <row r="11" spans="2:4" x14ac:dyDescent="0.35">
      <c r="B11" s="2" t="s">
        <v>29</v>
      </c>
      <c r="C11">
        <v>1</v>
      </c>
      <c r="D11">
        <v>0.3</v>
      </c>
    </row>
    <row r="12" spans="2:4" x14ac:dyDescent="0.35">
      <c r="B12" s="2" t="s">
        <v>31</v>
      </c>
      <c r="C12">
        <v>6</v>
      </c>
      <c r="D12">
        <v>1</v>
      </c>
    </row>
    <row r="13" spans="2:4" x14ac:dyDescent="0.35">
      <c r="B13" s="2" t="s">
        <v>34</v>
      </c>
      <c r="C13">
        <v>7</v>
      </c>
      <c r="D13">
        <v>1</v>
      </c>
    </row>
    <row r="14" spans="2:4" x14ac:dyDescent="0.35">
      <c r="B14" s="2" t="s">
        <v>36</v>
      </c>
      <c r="C14">
        <v>8</v>
      </c>
      <c r="D14">
        <v>1</v>
      </c>
    </row>
    <row r="15" spans="2:4" x14ac:dyDescent="0.35">
      <c r="B15" s="2" t="s">
        <v>37</v>
      </c>
      <c r="C15">
        <v>9</v>
      </c>
      <c r="D15">
        <v>0.3</v>
      </c>
    </row>
    <row r="16" spans="2:4" x14ac:dyDescent="0.35">
      <c r="B16" s="2" t="s">
        <v>39</v>
      </c>
      <c r="C16">
        <v>10</v>
      </c>
      <c r="D16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Task_Master</vt:lpstr>
      <vt:lpstr>Sheet1</vt:lpstr>
      <vt:lpstr>Sheet2</vt:lpstr>
      <vt:lpstr>Sheet3</vt:lpstr>
      <vt:lpstr>Close_Data</vt:lpstr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Singh</dc:creator>
  <cp:lastModifiedBy>Sonali Singh</cp:lastModifiedBy>
  <dcterms:created xsi:type="dcterms:W3CDTF">2015-06-05T18:17:20Z</dcterms:created>
  <dcterms:modified xsi:type="dcterms:W3CDTF">2026-02-16T21:43:56Z</dcterms:modified>
</cp:coreProperties>
</file>